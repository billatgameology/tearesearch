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e484af43c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739aaf44a93464a"/>
    <x:sheet xmlns:r="http://schemas.openxmlformats.org/officeDocument/2006/relationships" name="Executive Summary" sheetId="2" r:id="R19c6244a185c48bb"/>
    <x:sheet xmlns:r="http://schemas.openxmlformats.org/officeDocument/2006/relationships" name="Business Models" sheetId="3" r:id="Ra7aaca1f3da34ac4"/>
    <x:sheet xmlns:r="http://schemas.openxmlformats.org/officeDocument/2006/relationships" name="City Scorecard" sheetId="4" r:id="R4f752c22e5fd48da"/>
    <x:sheet xmlns:r="http://schemas.openxmlformats.org/officeDocument/2006/relationships" name="Unit Economics" sheetId="5" r:id="R711f2847213f4886"/>
    <x:sheet xmlns:r="http://schemas.openxmlformats.org/officeDocument/2006/relationships" name="Sensitivity" sheetId="6" r:id="Rc577a86f557c4b24"/>
    <x:sheet xmlns:r="http://schemas.openxmlformats.org/officeDocument/2006/relationships" name="90-Day Plan" sheetId="7" r:id="R6a50065946db421a"/>
    <x:sheet xmlns:r="http://schemas.openxmlformats.org/officeDocument/2006/relationships" name="Lease Gates" sheetId="8" r:id="R9d7491b317c14959"/>
    <x:sheet xmlns:r="http://schemas.openxmlformats.org/officeDocument/2006/relationships" name="Competitors" sheetId="9" r:id="R39a602984de44dd9"/>
    <x:sheet xmlns:r="http://schemas.openxmlformats.org/officeDocument/2006/relationships" name="Risk Register" sheetId="10" r:id="R80ea870f3f9245d3"/>
    <x:sheet xmlns:r="http://schemas.openxmlformats.org/officeDocument/2006/relationships" name="Legal &amp; Supply" sheetId="11" r:id="Rd2848f566f614197"/>
    <x:sheet xmlns:r="http://schemas.openxmlformats.org/officeDocument/2006/relationships" name="Sources" sheetId="12" r:id="R312df422aa6d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$#,##0;[Red]($#,##0);-"/>
    <x:numFmt numFmtId="203" formatCode="0.0%;[Red](0.0%);-"/>
    <x:numFmt numFmtId="204" formatCode="#,##0;[Red](#,##0);-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3"/>
      <x:color rgb="FF0F172A"/>
      <x:name val="Carlito"/>
    </x:font>
    <x:font>
      <x:sz val="12"/>
      <x:color rgb="FF0F172A"/>
      <x:name val="Carlito"/>
    </x:font>
    <x:font>
      <x:sz val="11"/>
      <x:color rgb="FF008000"/>
      <x:name val="Carlito"/>
    </x:font>
    <x:font>
      <x:b/>
      <x:sz val="11"/>
      <x:color rgb="FF92400E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44">
    <x:border/>
    <x:border/>
    <x:border>
      <x:bottom/>
    </x:border>
    <x:border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top/>
    </x:border>
    <x:border>
      <x:top/>
    </x:border>
  </x:borders>
  <x:cellStyleXfs count="1">
    <x:xf numFmtId="0" fontId="0" fillId="0" borderId="0"/>
  </x:cellStyleXfs>
  <x:cellXfs count="4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5" fillId="5" borderId="23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8" xfId="0" applyNumberFormat="1" applyFont="1" applyFill="1" applyBorder="1" applyAlignment="1">
      <x:alignment horizontal="center" wrapText="1"/>
    </x:xf>
    <x:xf numFmtId="0" fontId="5" fillId="5" borderId="19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20" xfId="0" applyNumberFormat="1" applyFont="1" applyFill="1" applyBorder="1" applyAlignment="1">
      <x:alignment horizontal="center" wrapText="1"/>
    </x:xf>
    <x:xf numFmtId="0" fontId="5" fillId="5" borderId="21" xfId="0" applyNumberFormat="1" applyFont="1" applyFill="1" applyBorder="1" applyAlignment="1">
      <x:alignment horizontal="center" wrapText="1"/>
    </x:xf>
    <x:xf numFmtId="0" fontId="5" fillId="5" borderId="22" xfId="0" applyNumberFormat="1" applyFont="1" applyFill="1" applyBorder="1" applyAlignment="1">
      <x:alignment horizontal="center" wrapText="1"/>
    </x:xf>
    <x:xf numFmtId="0" fontId="5" fillId="5" borderId="23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20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5" fillId="5" borderId="22" xfId="0" applyNumberFormat="1" applyFont="1" applyFill="1" applyBorder="1" applyAlignment="1">
      <x:alignment horizontal="center" vertical="center" wrapText="1"/>
    </x:xf>
    <x:xf numFmtId="0" fontId="5" fillId="5" borderId="2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4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7" xfId="0" applyNumberFormat="1" applyFont="1" applyFill="1" applyBorder="1"/>
    <x:xf numFmtId="0" fontId="5" fillId="5" borderId="28" xfId="0" applyNumberFormat="1" applyFont="1" applyFill="1" applyBorder="1"/>
    <x:xf numFmtId="0" fontId="5" fillId="5" borderId="29" xfId="0" applyNumberFormat="1" applyFont="1" applyFill="1" applyBorder="1"/>
    <x:xf numFmtId="0" fontId="5" fillId="5" borderId="30" xfId="0" applyNumberFormat="1" applyFont="1" applyFill="1" applyBorder="1"/>
    <x:xf numFmtId="0" fontId="5" fillId="5" borderId="31" xfId="0" applyNumberFormat="1" applyFont="1" applyFill="1" applyBorder="1"/>
    <x:xf numFmtId="0" fontId="5" fillId="5" borderId="24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wrapText="1"/>
    </x:xf>
    <x:xf numFmtId="0" fontId="5" fillId="5" borderId="26" xfId="0" applyNumberFormat="1" applyFont="1" applyFill="1" applyBorder="1" applyAlignment="1">
      <x:alignment wrapText="1"/>
    </x:xf>
    <x:xf numFmtId="0" fontId="5" fillId="5" borderId="27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28" xfId="0" applyNumberFormat="1" applyFont="1" applyFill="1" applyBorder="1" applyAlignment="1">
      <x:alignment wrapText="1"/>
    </x:xf>
    <x:xf numFmtId="0" fontId="5" fillId="5" borderId="29" xfId="0" applyNumberFormat="1" applyFont="1" applyFill="1" applyBorder="1" applyAlignment="1">
      <x:alignment wrapText="1"/>
    </x:xf>
    <x:xf numFmtId="0" fontId="5" fillId="5" borderId="30" xfId="0" applyNumberFormat="1" applyFont="1" applyFill="1" applyBorder="1" applyAlignment="1">
      <x:alignment wrapText="1"/>
    </x:xf>
    <x:xf numFmtId="0" fontId="5" fillId="5" borderId="31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horizontal="center" wrapText="1"/>
    </x:xf>
    <x:xf numFmtId="0" fontId="5" fillId="5" borderId="25" xfId="0" applyNumberFormat="1" applyFont="1" applyFill="1" applyBorder="1" applyAlignment="1">
      <x:alignment horizontal="center" wrapText="1"/>
    </x:xf>
    <x:xf numFmtId="0" fontId="5" fillId="5" borderId="26" xfId="0" applyNumberFormat="1" applyFont="1" applyFill="1" applyBorder="1" applyAlignment="1">
      <x:alignment horizontal="center" wrapText="1"/>
    </x:xf>
    <x:xf numFmtId="0" fontId="5" fillId="5" borderId="27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8" xfId="0" applyNumberFormat="1" applyFont="1" applyFill="1" applyBorder="1" applyAlignment="1">
      <x:alignment horizontal="center" wrapText="1"/>
    </x:xf>
    <x:xf numFmtId="0" fontId="5" fillId="5" borderId="29" xfId="0" applyNumberFormat="1" applyFont="1" applyFill="1" applyBorder="1" applyAlignment="1">
      <x:alignment horizontal="center" wrapText="1"/>
    </x:xf>
    <x:xf numFmtId="0" fontId="5" fillId="5" borderId="30" xfId="0" applyNumberFormat="1" applyFont="1" applyFill="1" applyBorder="1" applyAlignment="1">
      <x:alignment horizontal="center" wrapText="1"/>
    </x:xf>
    <x:xf numFmtId="0" fontId="5" fillId="5" borderId="31" xfId="0" applyNumberFormat="1" applyFont="1" applyFill="1" applyBorder="1" applyAlignment="1">
      <x:alignment horizontal="center" wrapText="1"/>
    </x:xf>
    <x:xf numFmtId="0" fontId="5" fillId="5" borderId="24" xfId="0" applyNumberFormat="1" applyFont="1" applyFill="1" applyBorder="1" applyAlignment="1">
      <x:alignment horizontal="center" vertical="center" wrapText="1"/>
    </x:xf>
    <x:xf numFmtId="0" fontId="5" fillId="5" borderId="25" xfId="0" applyNumberFormat="1" applyFont="1" applyFill="1" applyBorder="1" applyAlignment="1">
      <x:alignment horizontal="center" vertical="center" wrapText="1"/>
    </x:xf>
    <x:xf numFmtId="0" fontId="5" fillId="5" borderId="26" xfId="0" applyNumberFormat="1" applyFont="1" applyFill="1" applyBorder="1" applyAlignment="1">
      <x:alignment horizontal="center"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8" xfId="0" applyNumberFormat="1" applyFont="1" applyFill="1" applyBorder="1" applyAlignment="1">
      <x:alignment horizontal="center" vertical="center" wrapText="1"/>
    </x:xf>
    <x:xf numFmtId="0" fontId="5" fillId="5" borderId="29" xfId="0" applyNumberFormat="1" applyFont="1" applyFill="1" applyBorder="1" applyAlignment="1">
      <x:alignment horizontal="center" vertical="center" wrapText="1"/>
    </x:xf>
    <x:xf numFmtId="0" fontId="5" fillId="5" borderId="30" xfId="0" applyNumberFormat="1" applyFont="1" applyFill="1" applyBorder="1" applyAlignment="1">
      <x:alignment horizontal="center" vertical="center" wrapText="1"/>
    </x:xf>
    <x:xf numFmtId="0" fontId="5" fillId="5" borderId="3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32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33" xfId="0" applyNumberFormat="1" applyFont="1" applyFill="1" applyBorder="1"/>
    <x:xf numFmtId="0" fontId="6" fillId="6" borderId="9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32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33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32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33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0" xfId="0" applyNumberFormat="1" applyFont="1" applyFill="1" applyBorder="1"/>
    <x:xf numFmtId="0" fontId="6" fillId="6" borderId="34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35" xfId="0" applyNumberFormat="1" applyFont="1" applyFill="1" applyBorder="1"/>
    <x:xf numFmtId="0" fontId="6" fillId="6" borderId="15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34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35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34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35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7" fillId="0" borderId="4" xfId="0" applyNumberFormat="1" applyFont="1" applyFill="1" applyBorder="1"/>
    <x:xf numFmtId="200" fontId="7" fillId="0" borderId="32" xfId="0" applyNumberFormat="1" applyFont="1" applyFill="1" applyBorder="1"/>
    <x:xf numFmtId="0" fontId="7" fillId="0" borderId="32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200" fontId="7" fillId="0" borderId="33" xfId="0" applyNumberFormat="1" applyFont="1" applyFill="1" applyBorder="1"/>
    <x:xf numFmtId="0" fontId="7" fillId="0" borderId="33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200" fontId="7" fillId="0" borderId="34" xfId="0" applyNumberFormat="1" applyFont="1" applyFill="1" applyBorder="1"/>
    <x:xf numFmtId="0" fontId="7" fillId="0" borderId="34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200" fontId="7" fillId="0" borderId="35" xfId="0" applyNumberFormat="1" applyFont="1" applyFill="1" applyBorder="1"/>
    <x:xf numFmtId="0" fontId="7" fillId="0" borderId="35" xfId="0" applyNumberFormat="1" applyFont="1" applyFill="1" applyBorder="1"/>
    <x:xf numFmtId="0" fontId="7" fillId="0" borderId="15" xfId="0" applyNumberFormat="1" applyFont="1" applyFill="1" applyBorder="1"/>
    <x:xf numFmtId="0" fontId="7" fillId="0" borderId="4" xfId="0" applyNumberFormat="1" applyFont="1" applyFill="1" applyBorder="1" applyAlignment="1">
      <x:alignment vertical="top"/>
    </x:xf>
    <x:xf numFmtId="200" fontId="7" fillId="0" borderId="32" xfId="0" applyNumberFormat="1" applyFont="1" applyFill="1" applyBorder="1" applyAlignment="1">
      <x:alignment vertical="top"/>
    </x:xf>
    <x:xf numFmtId="0" fontId="7" fillId="0" borderId="32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7" fillId="0" borderId="8" xfId="0" applyNumberFormat="1" applyFont="1" applyFill="1" applyBorder="1" applyAlignment="1">
      <x:alignment vertical="top"/>
    </x:xf>
    <x:xf numFmtId="200" fontId="7" fillId="0" borderId="33" xfId="0" applyNumberFormat="1" applyFont="1" applyFill="1" applyBorder="1" applyAlignment="1">
      <x:alignment vertical="top"/>
    </x:xf>
    <x:xf numFmtId="0" fontId="7" fillId="0" borderId="33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200" fontId="7" fillId="0" borderId="34" xfId="0" applyNumberFormat="1" applyFont="1" applyFill="1" applyBorder="1" applyAlignment="1">
      <x:alignment vertical="top"/>
    </x:xf>
    <x:xf numFmtId="0" fontId="7" fillId="0" borderId="34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0" fontId="7" fillId="0" borderId="12" xfId="0" applyNumberFormat="1" applyFont="1" applyFill="1" applyBorder="1" applyAlignment="1">
      <x:alignment vertical="top"/>
    </x:xf>
    <x:xf numFmtId="200" fontId="7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/>
    </x:xf>
    <x:xf numFmtId="0" fontId="7" fillId="0" borderId="14" xfId="0" applyNumberFormat="1" applyFont="1" applyFill="1" applyBorder="1" applyAlignment="1">
      <x:alignment vertical="top"/>
    </x:xf>
    <x:xf numFmtId="200" fontId="7" fillId="0" borderId="35" xfId="0" applyNumberFormat="1" applyFont="1" applyFill="1" applyBorder="1" applyAlignment="1">
      <x:alignment vertical="top"/>
    </x:xf>
    <x:xf numFmtId="0" fontId="7" fillId="0" borderId="35" xfId="0" applyNumberFormat="1" applyFont="1" applyFill="1" applyBorder="1" applyAlignment="1">
      <x:alignment vertical="top"/>
    </x:xf>
    <x:xf numFmtId="0" fontId="7" fillId="0" borderId="15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 wrapText="1"/>
    </x:xf>
    <x:xf numFmtId="200" fontId="7" fillId="0" borderId="32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200" fontId="7" fillId="0" borderId="33" xfId="0" applyNumberFormat="1" applyFont="1" applyFill="1" applyBorder="1" applyAlignment="1">
      <x:alignment vertical="top" wrapText="1"/>
    </x:xf>
    <x:xf numFmtId="0" fontId="7" fillId="0" borderId="33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0" fontId="7" fillId="0" borderId="34" xfId="0" applyNumberFormat="1" applyFont="1" applyFill="1" applyBorder="1" applyAlignment="1">
      <x:alignment vertical="top" wrapText="1"/>
    </x:xf>
    <x:xf numFmtId="0" fontId="7" fillId="0" borderId="34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200" fontId="7" fillId="0" borderId="35" xfId="0" applyNumberFormat="1" applyFont="1" applyFill="1" applyBorder="1" applyAlignment="1">
      <x:alignment vertical="top" wrapText="1"/>
    </x:xf>
    <x:xf numFmtId="0" fontId="7" fillId="0" borderId="35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/>
    <x:xf numFmtId="0" fontId="0" fillId="0" borderId="0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33" xfId="0" applyNumberFormat="1" applyFont="1" applyFill="1" applyBorder="1" applyAlignment="1">
      <x:alignment vertical="top"/>
    </x:xf>
    <x:xf numFmtId="0" fontId="0" fillId="0" borderId="34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35" xfId="0" applyNumberFormat="1" applyFont="1" applyFill="1" applyBorder="1" applyAlignment="1">
      <x:alignment vertical="top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7" borderId="9" xfId="0" applyNumberFormat="1" applyFont="1" applyFill="1" applyBorder="1" applyAlignment="1">
      <x:alignment horizontal="center"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5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horizontal="center" vertical="top" wrapText="1"/>
    </x:xf>
    <x:xf numFmtId="0" fontId="8" fillId="7" borderId="13" xfId="0" applyNumberFormat="1" applyFont="1" applyFill="1" applyBorder="1" applyAlignment="1">
      <x:alignment horizontal="center" vertical="top" wrapText="1"/>
    </x:xf>
    <x:xf numFmtId="0" fontId="8" fillId="7" borderId="15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11" fillId="0" borderId="0" xfId="0" applyNumberFormat="1" applyFont="1" applyFill="1" applyBorder="1"/>
    <x:xf numFmtId="200" fontId="11" fillId="0" borderId="1" xfId="0" applyNumberFormat="1" applyFont="1" applyFill="1" applyBorder="1"/>
    <x:xf numFmtId="0" fontId="4" fillId="0" borderId="4" xfId="0" applyNumberFormat="1" applyFont="1" applyFill="1" applyBorder="1"/>
    <x:xf numFmtId="201" fontId="9" fillId="0" borderId="32" xfId="0" applyNumberFormat="1" applyFont="1" applyFill="1" applyBorder="1"/>
    <x:xf numFmtId="0" fontId="10" fillId="0" borderId="33" xfId="0" applyNumberFormat="1" applyFont="1" applyFill="1" applyBorder="1"/>
    <x:xf numFmtId="200" fontId="11" fillId="0" borderId="33" xfId="0" applyNumberFormat="1" applyFont="1" applyFill="1" applyBorder="1"/>
    <x:xf numFmtId="0" fontId="4" fillId="0" borderId="10" xfId="0" applyNumberFormat="1" applyFont="1" applyFill="1" applyBorder="1"/>
    <x:xf numFmtId="201" fontId="9" fillId="0" borderId="34" xfId="0" applyNumberFormat="1" applyFont="1" applyFill="1" applyBorder="1"/>
    <x:xf numFmtId="0" fontId="10" fillId="0" borderId="35" xfId="0" applyNumberFormat="1" applyFont="1" applyFill="1" applyBorder="1"/>
    <x:xf numFmtId="200" fontId="11" fillId="0" borderId="3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201" fontId="9" fillId="0" borderId="32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200" fontId="11" fillId="0" borderId="0" xfId="0" applyNumberFormat="1" applyFont="1" applyFill="1" applyBorder="1" applyAlignment="1">
      <x:alignment vertical="top"/>
    </x:xf>
    <x:xf numFmtId="0" fontId="10" fillId="0" borderId="33" xfId="0" applyNumberFormat="1" applyFont="1" applyFill="1" applyBorder="1" applyAlignment="1">
      <x:alignment vertical="top"/>
    </x:xf>
    <x:xf numFmtId="200" fontId="11" fillId="0" borderId="33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201" fontId="9" fillId="0" borderId="34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200" fontId="11" fillId="0" borderId="1" xfId="0" applyNumberFormat="1" applyFont="1" applyFill="1" applyBorder="1" applyAlignment="1">
      <x:alignment vertical="top"/>
    </x:xf>
    <x:xf numFmtId="0" fontId="10" fillId="0" borderId="35" xfId="0" applyNumberFormat="1" applyFont="1" applyFill="1" applyBorder="1" applyAlignment="1">
      <x:alignment vertical="top"/>
    </x:xf>
    <x:xf numFmtId="200" fontId="11" fillId="0" borderId="35" xfId="0" applyNumberFormat="1" applyFont="1" applyFill="1" applyBorder="1" applyAlignment="1">
      <x:alignment vertical="top"/>
    </x:xf>
    <x:xf numFmtId="201" fontId="9" fillId="0" borderId="3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0" fontId="10" fillId="0" borderId="33" xfId="0" applyNumberFormat="1" applyFont="1" applyFill="1" applyBorder="1" applyAlignment="1">
      <x:alignment vertical="top" wrapText="1"/>
    </x:xf>
    <x:xf numFmtId="200" fontId="11" fillId="0" borderId="33" xfId="0" applyNumberFormat="1" applyFont="1" applyFill="1" applyBorder="1" applyAlignment="1">
      <x:alignment vertical="top" wrapText="1"/>
    </x:xf>
    <x:xf numFmtId="201" fontId="9" fillId="0" borderId="34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200" fontId="11" fillId="0" borderId="1" xfId="0" applyNumberFormat="1" applyFont="1" applyFill="1" applyBorder="1" applyAlignment="1">
      <x:alignment vertical="top" wrapText="1"/>
    </x:xf>
    <x:xf numFmtId="0" fontId="10" fillId="0" borderId="35" xfId="0" applyNumberFormat="1" applyFont="1" applyFill="1" applyBorder="1" applyAlignment="1">
      <x:alignment vertical="top" wrapText="1"/>
    </x:xf>
    <x:xf numFmtId="200" fontId="11" fillId="0" borderId="35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2" fontId="12" fillId="0" borderId="0" xfId="0" applyNumberFormat="1" applyFont="1" applyFill="1" applyBorder="1"/>
    <x:xf numFmtId="202" fontId="12" fillId="0" borderId="1" xfId="0" applyNumberFormat="1" applyFont="1" applyFill="1" applyBorder="1"/>
    <x:xf numFmtId="203" fontId="10" fillId="0" borderId="0" xfId="0" applyNumberFormat="1" applyFont="1" applyFill="1" applyBorder="1"/>
    <x:xf numFmtId="203" fontId="10" fillId="0" borderId="1" xfId="0" applyNumberFormat="1" applyFont="1" applyFill="1" applyBorder="1"/>
    <x:xf numFmtId="204" fontId="12" fillId="0" borderId="0" xfId="0" applyNumberFormat="1" applyFont="1" applyFill="1" applyBorder="1"/>
    <x:xf numFmtId="204" fontId="12" fillId="0" borderId="1" xfId="0" applyNumberFormat="1" applyFont="1" applyFill="1" applyBorder="1"/>
    <x:xf numFmtId="0" fontId="3" fillId="4" borderId="36" xfId="0" applyNumberFormat="1" applyFont="1" applyFill="1" applyBorder="1" applyAlignment="1">
      <x:alignment horizontal="center" vertical="center" wrapText="1"/>
    </x:xf>
    <x:xf numFmtId="0" fontId="3" fillId="4" borderId="37" xfId="0" applyNumberFormat="1" applyFont="1" applyFill="1" applyBorder="1" applyAlignment="1">
      <x:alignment horizontal="center" vertical="center" wrapText="1"/>
    </x:xf>
    <x:xf numFmtId="0" fontId="3" fillId="4" borderId="38" xfId="0" applyNumberFormat="1" applyFont="1" applyFill="1" applyBorder="1" applyAlignment="1">
      <x:alignment horizontal="center" vertical="center" wrapText="1"/>
    </x:xf>
    <x:xf numFmtId="202" fontId="10" fillId="0" borderId="33" xfId="0" applyNumberFormat="1" applyFont="1" applyFill="1" applyBorder="1"/>
    <x:xf numFmtId="203" fontId="10" fillId="0" borderId="33" xfId="0" applyNumberFormat="1" applyFont="1" applyFill="1" applyBorder="1"/>
    <x:xf numFmtId="202" fontId="12" fillId="0" borderId="33" xfId="0" applyNumberFormat="1" applyFont="1" applyFill="1" applyBorder="1"/>
    <x:xf numFmtId="204" fontId="12" fillId="0" borderId="33" xfId="0" applyNumberFormat="1" applyFont="1" applyFill="1" applyBorder="1"/>
    <x:xf numFmtId="0" fontId="3" fillId="4" borderId="39" xfId="0" applyNumberFormat="1" applyFont="1" applyFill="1" applyBorder="1" applyAlignment="1">
      <x:alignment horizontal="center" vertical="center" wrapText="1"/>
    </x:xf>
    <x:xf numFmtId="0" fontId="3" fillId="4" borderId="40" xfId="0" applyNumberFormat="1" applyFont="1" applyFill="1" applyBorder="1" applyAlignment="1">
      <x:alignment horizontal="center" vertical="center" wrapText="1"/>
    </x:xf>
    <x:xf numFmtId="0" fontId="3" fillId="4" borderId="41" xfId="0" applyNumberFormat="1" applyFont="1" applyFill="1" applyBorder="1" applyAlignment="1">
      <x:alignment horizontal="center" vertical="center" wrapText="1"/>
    </x:xf>
    <x:xf numFmtId="202" fontId="10" fillId="0" borderId="35" xfId="0" applyNumberFormat="1" applyFont="1" applyFill="1" applyBorder="1"/>
    <x:xf numFmtId="203" fontId="10" fillId="0" borderId="35" xfId="0" applyNumberFormat="1" applyFont="1" applyFill="1" applyBorder="1"/>
    <x:xf numFmtId="202" fontId="12" fillId="0" borderId="35" xfId="0" applyNumberFormat="1" applyFont="1" applyFill="1" applyBorder="1"/>
    <x:xf numFmtId="204" fontId="12" fillId="0" borderId="35" xfId="0" applyNumberFormat="1" applyFont="1" applyFill="1" applyBorder="1"/>
    <x:xf numFmtId="0" fontId="3" fillId="4" borderId="36" xfId="0" applyNumberFormat="1" applyFont="1" applyFill="1" applyBorder="1" applyAlignment="1">
      <x:alignment horizontal="center" vertical="top" wrapText="1"/>
    </x:xf>
    <x:xf numFmtId="0" fontId="3" fillId="4" borderId="37" xfId="0" applyNumberFormat="1" applyFont="1" applyFill="1" applyBorder="1" applyAlignment="1">
      <x:alignment horizontal="center" vertical="top" wrapText="1"/>
    </x:xf>
    <x:xf numFmtId="0" fontId="3" fillId="4" borderId="38" xfId="0" applyNumberFormat="1" applyFont="1" applyFill="1" applyBorder="1" applyAlignment="1">
      <x:alignment horizontal="center" vertical="top" wrapText="1"/>
    </x:xf>
    <x:xf numFmtId="202" fontId="10" fillId="0" borderId="0" xfId="0" applyNumberFormat="1" applyFont="1" applyFill="1" applyBorder="1" applyAlignment="1">
      <x:alignment vertical="top"/>
    </x:xf>
    <x:xf numFmtId="203" fontId="10" fillId="0" borderId="0" xfId="0" applyNumberFormat="1" applyFont="1" applyFill="1" applyBorder="1" applyAlignment="1">
      <x:alignment vertical="top"/>
    </x:xf>
    <x:xf numFmtId="202" fontId="12" fillId="0" borderId="0" xfId="0" applyNumberFormat="1" applyFont="1" applyFill="1" applyBorder="1" applyAlignment="1">
      <x:alignment vertical="top"/>
    </x:xf>
    <x:xf numFmtId="204" fontId="12" fillId="0" borderId="0" xfId="0" applyNumberFormat="1" applyFont="1" applyFill="1" applyBorder="1" applyAlignment="1">
      <x:alignment vertical="top"/>
    </x:xf>
    <x:xf numFmtId="202" fontId="10" fillId="0" borderId="33" xfId="0" applyNumberFormat="1" applyFont="1" applyFill="1" applyBorder="1" applyAlignment="1">
      <x:alignment vertical="top"/>
    </x:xf>
    <x:xf numFmtId="203" fontId="10" fillId="0" borderId="33" xfId="0" applyNumberFormat="1" applyFont="1" applyFill="1" applyBorder="1" applyAlignment="1">
      <x:alignment vertical="top"/>
    </x:xf>
    <x:xf numFmtId="202" fontId="12" fillId="0" borderId="33" xfId="0" applyNumberFormat="1" applyFont="1" applyFill="1" applyBorder="1" applyAlignment="1">
      <x:alignment vertical="top"/>
    </x:xf>
    <x:xf numFmtId="204" fontId="12" fillId="0" borderId="33" xfId="0" applyNumberFormat="1" applyFont="1" applyFill="1" applyBorder="1" applyAlignment="1">
      <x:alignment vertical="top"/>
    </x:xf>
    <x:xf numFmtId="0" fontId="3" fillId="4" borderId="39" xfId="0" applyNumberFormat="1" applyFont="1" applyFill="1" applyBorder="1" applyAlignment="1">
      <x:alignment horizontal="center" vertical="top" wrapText="1"/>
    </x:xf>
    <x:xf numFmtId="0" fontId="3" fillId="4" borderId="40" xfId="0" applyNumberFormat="1" applyFont="1" applyFill="1" applyBorder="1" applyAlignment="1">
      <x:alignment horizontal="center" vertical="top" wrapText="1"/>
    </x:xf>
    <x:xf numFmtId="0" fontId="3" fillId="4" borderId="41" xfId="0" applyNumberFormat="1" applyFont="1" applyFill="1" applyBorder="1" applyAlignment="1">
      <x:alignment horizontal="center" vertical="top" wrapText="1"/>
    </x:xf>
    <x:xf numFmtId="202" fontId="10" fillId="0" borderId="1" xfId="0" applyNumberFormat="1" applyFont="1" applyFill="1" applyBorder="1" applyAlignment="1">
      <x:alignment vertical="top"/>
    </x:xf>
    <x:xf numFmtId="203" fontId="10" fillId="0" borderId="1" xfId="0" applyNumberFormat="1" applyFont="1" applyFill="1" applyBorder="1" applyAlignment="1">
      <x:alignment vertical="top"/>
    </x:xf>
    <x:xf numFmtId="202" fontId="12" fillId="0" borderId="1" xfId="0" applyNumberFormat="1" applyFont="1" applyFill="1" applyBorder="1" applyAlignment="1">
      <x:alignment vertical="top"/>
    </x:xf>
    <x:xf numFmtId="204" fontId="12" fillId="0" borderId="1" xfId="0" applyNumberFormat="1" applyFont="1" applyFill="1" applyBorder="1" applyAlignment="1">
      <x:alignment vertical="top"/>
    </x:xf>
    <x:xf numFmtId="202" fontId="10" fillId="0" borderId="35" xfId="0" applyNumberFormat="1" applyFont="1" applyFill="1" applyBorder="1" applyAlignment="1">
      <x:alignment vertical="top"/>
    </x:xf>
    <x:xf numFmtId="203" fontId="10" fillId="0" borderId="35" xfId="0" applyNumberFormat="1" applyFont="1" applyFill="1" applyBorder="1" applyAlignment="1">
      <x:alignment vertical="top"/>
    </x:xf>
    <x:xf numFmtId="202" fontId="12" fillId="0" borderId="35" xfId="0" applyNumberFormat="1" applyFont="1" applyFill="1" applyBorder="1" applyAlignment="1">
      <x:alignment vertical="top"/>
    </x:xf>
    <x:xf numFmtId="204" fontId="12" fillId="0" borderId="35" xfId="0" applyNumberFormat="1" applyFont="1" applyFill="1" applyBorder="1" applyAlignment="1">
      <x:alignment vertical="top"/>
    </x:xf>
    <x:xf numFmtId="202" fontId="10" fillId="0" borderId="0" xfId="0" applyNumberFormat="1" applyFont="1" applyFill="1" applyBorder="1" applyAlignment="1">
      <x:alignment vertical="top" wrapText="1"/>
    </x:xf>
    <x:xf numFmtId="203" fontId="10" fillId="0" borderId="0" xfId="0" applyNumberFormat="1" applyFont="1" applyFill="1" applyBorder="1" applyAlignment="1">
      <x:alignment vertical="top" wrapText="1"/>
    </x:xf>
    <x:xf numFmtId="202" fontId="12" fillId="0" borderId="0" xfId="0" applyNumberFormat="1" applyFont="1" applyFill="1" applyBorder="1" applyAlignment="1">
      <x:alignment vertical="top" wrapText="1"/>
    </x:xf>
    <x:xf numFmtId="204" fontId="12" fillId="0" borderId="0" xfId="0" applyNumberFormat="1" applyFont="1" applyFill="1" applyBorder="1" applyAlignment="1">
      <x:alignment vertical="top" wrapText="1"/>
    </x:xf>
    <x:xf numFmtId="202" fontId="10" fillId="0" borderId="33" xfId="0" applyNumberFormat="1" applyFont="1" applyFill="1" applyBorder="1" applyAlignment="1">
      <x:alignment vertical="top" wrapText="1"/>
    </x:xf>
    <x:xf numFmtId="203" fontId="10" fillId="0" borderId="33" xfId="0" applyNumberFormat="1" applyFont="1" applyFill="1" applyBorder="1" applyAlignment="1">
      <x:alignment vertical="top" wrapText="1"/>
    </x:xf>
    <x:xf numFmtId="202" fontId="12" fillId="0" borderId="33" xfId="0" applyNumberFormat="1" applyFont="1" applyFill="1" applyBorder="1" applyAlignment="1">
      <x:alignment vertical="top" wrapText="1"/>
    </x:xf>
    <x:xf numFmtId="204" fontId="12" fillId="0" borderId="33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3" fontId="10" fillId="0" borderId="1" xfId="0" applyNumberFormat="1" applyFont="1" applyFill="1" applyBorder="1" applyAlignment="1">
      <x:alignment vertical="top" wrapText="1"/>
    </x:xf>
    <x:xf numFmtId="202" fontId="12" fillId="0" borderId="1" xfId="0" applyNumberFormat="1" applyFont="1" applyFill="1" applyBorder="1" applyAlignment="1">
      <x:alignment vertical="top" wrapText="1"/>
    </x:xf>
    <x:xf numFmtId="204" fontId="12" fillId="0" borderId="1" xfId="0" applyNumberFormat="1" applyFont="1" applyFill="1" applyBorder="1" applyAlignment="1">
      <x:alignment vertical="top" wrapText="1"/>
    </x:xf>
    <x:xf numFmtId="202" fontId="10" fillId="0" borderId="35" xfId="0" applyNumberFormat="1" applyFont="1" applyFill="1" applyBorder="1" applyAlignment="1">
      <x:alignment vertical="top" wrapText="1"/>
    </x:xf>
    <x:xf numFmtId="203" fontId="10" fillId="0" borderId="35" xfId="0" applyNumberFormat="1" applyFont="1" applyFill="1" applyBorder="1" applyAlignment="1">
      <x:alignment vertical="top" wrapText="1"/>
    </x:xf>
    <x:xf numFmtId="202" fontId="12" fillId="0" borderId="35" xfId="0" applyNumberFormat="1" applyFont="1" applyFill="1" applyBorder="1" applyAlignment="1">
      <x:alignment vertical="top" wrapText="1"/>
    </x:xf>
    <x:xf numFmtId="204" fontId="12" fillId="0" borderId="35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/>
    <x:xf numFmtId="202" fontId="11" fillId="0" borderId="1" xfId="0" applyNumberFormat="1" applyFont="1" applyFill="1" applyBorder="1"/>
    <x:xf numFmtId="202" fontId="11" fillId="0" borderId="33" xfId="0" applyNumberFormat="1" applyFont="1" applyFill="1" applyBorder="1"/>
    <x:xf numFmtId="202" fontId="11" fillId="0" borderId="35" xfId="0" applyNumberFormat="1" applyFont="1" applyFill="1" applyBorder="1"/>
    <x:xf numFmtId="202" fontId="11" fillId="0" borderId="33" xfId="0" applyNumberFormat="1" applyFont="1" applyFill="1" applyBorder="1" applyAlignment="1">
      <x:alignment vertical="top"/>
    </x:xf>
    <x:xf numFmtId="202" fontId="11" fillId="0" borderId="35" xfId="0" applyNumberFormat="1" applyFont="1" applyFill="1" applyBorder="1" applyAlignment="1">
      <x:alignment vertical="top"/>
    </x:xf>
    <x:xf numFmtId="202" fontId="11" fillId="0" borderId="33" xfId="0" applyNumberFormat="1" applyFont="1" applyFill="1" applyBorder="1" applyAlignment="1">
      <x:alignment vertical="top" wrapText="1"/>
    </x:xf>
    <x:xf numFmtId="202" fontId="11" fillId="0" borderId="35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3" fontId="10" fillId="0" borderId="6" xfId="0" applyNumberFormat="1" applyFont="1" applyFill="1" applyBorder="1"/>
    <x:xf numFmtId="202" fontId="7" fillId="0" borderId="7" xfId="0" applyNumberFormat="1" applyFont="1" applyFill="1" applyBorder="1"/>
    <x:xf numFmtId="203" fontId="10" fillId="0" borderId="8" xfId="0" applyNumberFormat="1" applyFont="1" applyFill="1" applyBorder="1"/>
    <x:xf numFmtId="202" fontId="7" fillId="0" borderId="33" xfId="0" applyNumberFormat="1" applyFont="1" applyFill="1" applyBorder="1"/>
    <x:xf numFmtId="202" fontId="7" fillId="0" borderId="9" xfId="0" applyNumberFormat="1" applyFont="1" applyFill="1" applyBorder="1"/>
    <x:xf numFmtId="203" fontId="10" fillId="0" borderId="12" xfId="0" applyNumberFormat="1" applyFont="1" applyFill="1" applyBorder="1"/>
    <x:xf numFmtId="202" fontId="7" fillId="0" borderId="13" xfId="0" applyNumberFormat="1" applyFont="1" applyFill="1" applyBorder="1"/>
    <x:xf numFmtId="203" fontId="10" fillId="0" borderId="14" xfId="0" applyNumberFormat="1" applyFont="1" applyFill="1" applyBorder="1"/>
    <x:xf numFmtId="202" fontId="7" fillId="0" borderId="35" xfId="0" applyNumberFormat="1" applyFont="1" applyFill="1" applyBorder="1"/>
    <x:xf numFmtId="202" fontId="7" fillId="0" borderId="15" xfId="0" applyNumberFormat="1" applyFont="1" applyFill="1" applyBorder="1"/>
    <x:xf numFmtId="203" fontId="10" fillId="0" borderId="6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2" fontId="7" fillId="0" borderId="7" xfId="0" applyNumberFormat="1" applyFont="1" applyFill="1" applyBorder="1" applyAlignment="1">
      <x:alignment vertical="top"/>
    </x:xf>
    <x:xf numFmtId="203" fontId="10" fillId="0" borderId="8" xfId="0" applyNumberFormat="1" applyFont="1" applyFill="1" applyBorder="1" applyAlignment="1">
      <x:alignment vertical="top"/>
    </x:xf>
    <x:xf numFmtId="202" fontId="7" fillId="0" borderId="33" xfId="0" applyNumberFormat="1" applyFont="1" applyFill="1" applyBorder="1" applyAlignment="1">
      <x:alignment vertical="top"/>
    </x:xf>
    <x:xf numFmtId="202" fontId="7" fillId="0" borderId="9" xfId="0" applyNumberFormat="1" applyFont="1" applyFill="1" applyBorder="1" applyAlignment="1">
      <x:alignment vertical="top"/>
    </x:xf>
    <x:xf numFmtId="203" fontId="10" fillId="0" borderId="12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202" fontId="7" fillId="0" borderId="13" xfId="0" applyNumberFormat="1" applyFont="1" applyFill="1" applyBorder="1" applyAlignment="1">
      <x:alignment vertical="top"/>
    </x:xf>
    <x:xf numFmtId="203" fontId="10" fillId="0" borderId="14" xfId="0" applyNumberFormat="1" applyFont="1" applyFill="1" applyBorder="1" applyAlignment="1">
      <x:alignment vertical="top"/>
    </x:xf>
    <x:xf numFmtId="202" fontId="7" fillId="0" borderId="35" xfId="0" applyNumberFormat="1" applyFont="1" applyFill="1" applyBorder="1" applyAlignment="1">
      <x:alignment vertical="top"/>
    </x:xf>
    <x:xf numFmtId="202" fontId="7" fillId="0" borderId="15" xfId="0" applyNumberFormat="1" applyFont="1" applyFill="1" applyBorder="1" applyAlignment="1">
      <x:alignment vertical="top"/>
    </x:xf>
    <x:xf numFmtId="203" fontId="10" fillId="0" borderId="6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7" fillId="0" borderId="7" xfId="0" applyNumberFormat="1" applyFont="1" applyFill="1" applyBorder="1" applyAlignment="1">
      <x:alignment vertical="top" wrapText="1"/>
    </x:xf>
    <x:xf numFmtId="203" fontId="10" fillId="0" borderId="8" xfId="0" applyNumberFormat="1" applyFont="1" applyFill="1" applyBorder="1" applyAlignment="1">
      <x:alignment vertical="top" wrapText="1"/>
    </x:xf>
    <x:xf numFmtId="202" fontId="7" fillId="0" borderId="33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203" fontId="10" fillId="0" borderId="12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2" fontId="7" fillId="0" borderId="13" xfId="0" applyNumberFormat="1" applyFont="1" applyFill="1" applyBorder="1" applyAlignment="1">
      <x:alignment vertical="top" wrapText="1"/>
    </x:xf>
    <x:xf numFmtId="203" fontId="10" fillId="0" borderId="14" xfId="0" applyNumberFormat="1" applyFont="1" applyFill="1" applyBorder="1" applyAlignment="1">
      <x:alignment vertical="top" wrapText="1"/>
    </x:xf>
    <x:xf numFmtId="202" fontId="7" fillId="0" borderId="35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/>
    <x:xf numFmtId="0" fontId="13" fillId="6" borderId="1" xfId="0" applyNumberFormat="1" applyFont="1" applyFill="1" applyBorder="1" applyAlignment="1">
      <x:alignment wrapText="1"/>
    </x:xf>
    <x:xf numFmtId="0" fontId="13" fillId="6" borderId="1" xfId="0" applyNumberFormat="1" applyFont="1" applyFill="1" applyBorder="1" applyAlignment="1">
      <x:alignment vertical="center" wrapText="1"/>
    </x:xf>
    <x:xf numFmtId="0" fontId="3" fillId="2" borderId="42" xfId="0" applyNumberFormat="1" applyFont="1" applyFill="1" applyBorder="1"/>
    <x:xf numFmtId="0" fontId="3" fillId="2" borderId="43" xfId="0" applyNumberFormat="1" applyFont="1" applyFill="1" applyBorder="1"/>
    <x:xf numFmtId="202" fontId="3" fillId="2" borderId="42" xfId="0" applyNumberFormat="1" applyFont="1" applyFill="1" applyBorder="1"/>
    <x:xf numFmtId="202" fontId="3" fillId="2" borderId="43" xfId="0" applyNumberFormat="1" applyFont="1" applyFill="1" applyBorder="1"/>
    <x:xf numFmtId="0" fontId="0" fillId="7" borderId="0" xfId="0" applyNumberFormat="1" applyFont="1" applyFill="1" applyBorder="1" applyAlignment="1">
      <x:alignment vertical="top" wrapText="1"/>
    </x:xf>
    <x:xf numFmtId="0" fontId="0" fillId="7" borderId="33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33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7" borderId="33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35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35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35" xfId="0" applyNumberFormat="1" applyFont="1" applyFill="1" applyBorder="1" applyAlignment="1">
      <x:alignment horizontal="center" vertical="top" wrapText="1"/>
    </x:xf>
    <x:xf numFmtId="0" fontId="11" fillId="0" borderId="33" xfId="0" applyNumberFormat="1" applyFont="1" applyFill="1" applyBorder="1"/>
    <x:xf numFmtId="0" fontId="11" fillId="0" borderId="35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0" borderId="33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11" fillId="0" borderId="35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33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3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1f129fefb4a76" /><Relationship Type="http://schemas.openxmlformats.org/officeDocument/2006/relationships/theme" Target="/xl/theme/theme1.xml" Id="R55a616516be74f60" /><Relationship Type="http://schemas.openxmlformats.org/officeDocument/2006/relationships/sharedStrings" Target="/xl/sharedStrings.xml" Id="R82c80d3f2d5e4c5c" /><Relationship Type="http://schemas.openxmlformats.org/officeDocument/2006/relationships/worksheet" Target="/xl/worksheets/sheet1.xml" Id="Re739aaf44a93464a" /><Relationship Type="http://schemas.openxmlformats.org/officeDocument/2006/relationships/worksheet" Target="/xl/worksheets/sheet2.xml" Id="R19c6244a185c48bb" /><Relationship Type="http://schemas.openxmlformats.org/officeDocument/2006/relationships/worksheet" Target="/xl/worksheets/sheet3.xml" Id="Ra7aaca1f3da34ac4" /><Relationship Type="http://schemas.openxmlformats.org/officeDocument/2006/relationships/worksheet" Target="/xl/worksheets/sheet4.xml" Id="R4f752c22e5fd48da" /><Relationship Type="http://schemas.openxmlformats.org/officeDocument/2006/relationships/worksheet" Target="/xl/worksheets/sheet5.xml" Id="R711f2847213f4886" /><Relationship Type="http://schemas.openxmlformats.org/officeDocument/2006/relationships/worksheet" Target="/xl/worksheets/sheet6.xml" Id="Rc577a86f557c4b24" /><Relationship Type="http://schemas.openxmlformats.org/officeDocument/2006/relationships/worksheet" Target="/xl/worksheets/sheet7.xml" Id="R6a50065946db421a" /><Relationship Type="http://schemas.openxmlformats.org/officeDocument/2006/relationships/worksheet" Target="/xl/worksheets/sheet8.xml" Id="R9d7491b317c14959" /><Relationship Type="http://schemas.openxmlformats.org/officeDocument/2006/relationships/worksheet" Target="/xl/worksheets/sheet9.xml" Id="R39a602984de44dd9" /><Relationship Type="http://schemas.openxmlformats.org/officeDocument/2006/relationships/worksheet" Target="/xl/worksheets/sheet10.xml" Id="R80ea870f3f9245d3" /><Relationship Type="http://schemas.openxmlformats.org/officeDocument/2006/relationships/worksheet" Target="/xl/worksheets/sheet11.xml" Id="Rd2848f566f614197" /><Relationship Type="http://schemas.openxmlformats.org/officeDocument/2006/relationships/worksheet" Target="/xl/worksheets/sheet12.xml" Id="R312df422aa6d40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0d9ea7f12b411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Break-even Revenue</c:v>
          </c:tx>
          <c:cat>
            <c:strRef>
              <c:f>'Unit Economics'!$A$5:$A$10</c:f>
              <c:strCache>
                <c:ptCount val="0"/>
              </c:strCache>
            </c:strRef>
          </c:cat>
          <c:val>
            <c:numRef>
              <c:f>'Unit Economics'!$F$5:$F$10</c:f>
              <c:numCache>
                <c:formatCode>$0,"k"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0d9ea7f12b41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7e926828eb4fd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4" customHeight="1">
      <x:c r="A1" s="5" t="str">
        <x:v>U.S. Chinese Tea Business Research Workbook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Desk research and decision model | Research date 2026-08-27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3" t="str">
        <x:v>Item</x:v>
      </x:c>
      <x:c r="B4" s="23" t="str">
        <x:v>Explanation</x:v>
      </x:c>
    </x:row>
    <x:row r="5">
      <x:c r="A5" s="66" t="str">
        <x:v>Purpose</x:v>
      </x:c>
      <x:c r="B5" s="55" t="str">
        <x:v>Determine the lowest-risk path to test a U.S. business centered on authentic Chinese tea before committing to a permanent store.</x:v>
      </x:c>
    </x:row>
    <x:row r="6">
      <x:c r="A6" s="67" t="str">
        <x:v>Primary recommendation</x:v>
      </x:c>
      <x:c r="B6" s="57" t="str">
        <x:v>Content-led e-commerce + paid tastings/pop-ups + corporate/private events. Do not sign a lease yet.</x:v>
      </x:c>
    </x:row>
    <x:row r="7">
      <x:c r="A7" s="67" t="str">
        <x:v>What is modeled</x:v>
      </x:c>
      <x:c r="B7" s="57" t="str">
        <x:v>Business-model ranking, 15-market scorecard, illustrative unit economics, downside sensitivity, 90-day experiments, lease gates, competitors, risks and legal/supply issues.</x:v>
      </x:c>
    </x:row>
    <x:row r="8">
      <x:c r="A8" s="67" t="str">
        <x:v>What is not yet completed</x:v>
      </x:c>
      <x:c r="B8" s="57" t="str">
        <x:v>Primary interviews, paid ad results, actual sampler sales, live tastings, site-level rents, supplier quotes, attorney/CPA opinions and lease negotiations.</x:v>
      </x:c>
    </x:row>
    <x:row r="9">
      <x:c r="A9" s="67" t="str">
        <x:v>How to use inputs</x:v>
      </x:c>
      <x:c r="B9" s="57" t="str">
        <x:v>Blue-font numbers are analyst assumptions that should be replaced with actual results. Black cells are formulas. Green cells link to other worksheets.</x:v>
      </x:c>
    </x:row>
    <x:row r="10">
      <x:c r="A10" s="68" t="str">
        <x:v>Important limitation</x:v>
      </x:c>
      <x:c r="B10" s="59" t="str">
        <x:v>City and financial scores are decision aids, not forecasts. A location should be selected using neighborhood-level paid behavior and current lease quotes.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22" hidden="0" customWidth="1"/>
    <x:col min="4" max="4" width="58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" hidden="0" customWidth="1"/>
    <x:col min="14" max="14" width="3" hidden="0" customWidth="1"/>
  </x:cols>
  <x:sheetData>
    <x:row r="1" ht="34" customHeight="1">
      <x:c r="A1" s="5" t="str">
        <x:v>Executive Decision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The store is a later-stage escalation, not the first experiment.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4" customHeight="1">
      <x:c r="A4" s="73" t="str">
        <x:v>STORE NOW?</x:v>
      </x:c>
      <x:c r="B4" s="73"/>
      <x:c r="C4" s="73"/>
      <x:c r="D4" s="73" t="str">
        <x:v>PRIMARY MODEL</x:v>
      </x:c>
      <x:c r="E4" s="73"/>
      <x:c r="F4" s="73"/>
      <x:c r="G4" s="73" t="str">
        <x:v>FIRST TEST MARKET</x:v>
      </x:c>
      <x:c r="H4" s="73"/>
      <x:c r="I4" s="73"/>
      <x:c r="J4" s="73" t="str">
        <x:v>90-DAY TEST BUDGET</x:v>
      </x:c>
      <x:c r="K4" s="73"/>
      <x:c r="L4" s="73"/>
    </x:row>
    <x:row r="5" ht="56" customHeight="1">
      <x:c r="A5" s="104" t="str">
        <x:v>NO
Prove repeat demand first</x:v>
      </x:c>
      <x:c r="B5" s="105"/>
      <x:c r="C5" s="106"/>
      <x:c r="D5" s="104" t="str">
        <x:v>TASTINGS + E-COM
Paid behavior + product conversion</x:v>
      </x:c>
      <x:c r="E5" s="105"/>
      <x:c r="F5" s="106"/>
      <x:c r="G5" s="104" t="str">
        <x:v>LA / SGV
Then Seattle and Austin</x:v>
      </x:c>
      <x:c r="H5" s="105"/>
      <x:c r="I5" s="106"/>
      <x:c r="J5" s="104" t="str">
        <x:v>$49,000
Illustrative; replace with quotes</x:v>
      </x:c>
      <x:c r="K5" s="105"/>
      <x:c r="L5" s="106"/>
    </x:row>
    <x:row r="6" ht="56" customHeight="1">
      <x:c r="A6" s="107"/>
      <x:c r="B6" s="108"/>
      <x:c r="C6" s="109"/>
      <x:c r="D6" s="107"/>
      <x:c r="E6" s="108"/>
      <x:c r="F6" s="109"/>
      <x:c r="G6" s="107"/>
      <x:c r="H6" s="108"/>
      <x:c r="I6" s="109"/>
      <x:c r="J6" s="107"/>
      <x:c r="K6" s="108"/>
      <x:c r="L6" s="109"/>
    </x:row>
    <x:row r="7" ht="56" customHeight="1">
      <x:c r="A7" s="110"/>
      <x:c r="B7" s="111"/>
      <x:c r="C7" s="112"/>
      <x:c r="D7" s="110"/>
      <x:c r="E7" s="111"/>
      <x:c r="F7" s="112"/>
      <x:c r="G7" s="110"/>
      <x:c r="H7" s="111"/>
      <x:c r="I7" s="112"/>
      <x:c r="J7" s="110"/>
      <x:c r="K7" s="111"/>
      <x:c r="L7" s="112"/>
    </x:row>
    <x:row r="9" ht="24" customHeight="1">
      <x:c r="A9" s="152" t="str">
        <x:v>RECOMMENDATION</x:v>
      </x:c>
      <x:c r="B9" s="152"/>
      <x:c r="C9" s="152"/>
      <x:c r="D9" s="152"/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</x:row>
    <x:row r="10" ht="60" customHeight="1">
      <x:c r="A10" s="175" t="str">
        <x:v>Build an authentic-but-accessible Chinese tea brand through English content, a $28 beginner flight, paid $45–$60 tastings, corporate/private events and repeat e-commerce. Use LA/SGV, Seattle and Austin as contrasting validation markets. Consider an appointment studio only after the lease gates pass; a full manager-operated tea house is the last option.</x:v>
      </x:c>
      <x:c r="B10" s="176"/>
      <x:c r="C10" s="176"/>
      <x:c r="D10" s="176"/>
      <x:c r="E10" s="176"/>
      <x:c r="F10" s="176"/>
      <x:c r="G10" s="176"/>
      <x:c r="H10" s="176"/>
      <x:c r="I10" s="176"/>
      <x:c r="J10" s="176"/>
      <x:c r="K10" s="176"/>
      <x:c r="L10" s="176"/>
      <x:c r="M10" s="176"/>
      <x:c r="N10" s="177"/>
    </x:row>
    <x:row r="11" ht="60" customHeight="1">
      <x:c r="A11" s="178"/>
      <x:c r="B11" s="179"/>
      <x:c r="C11" s="179"/>
      <x:c r="D11" s="179"/>
      <x:c r="E11" s="179"/>
      <x:c r="F11" s="179"/>
      <x:c r="G11" s="179"/>
      <x:c r="H11" s="179"/>
      <x:c r="I11" s="179"/>
      <x:c r="J11" s="179"/>
      <x:c r="K11" s="179"/>
      <x:c r="L11" s="179"/>
      <x:c r="M11" s="179"/>
      <x:c r="N11" s="180"/>
    </x:row>
    <x:row r="12" ht="60" customHeight="1">
      <x:c r="A12" s="181"/>
      <x:c r="B12" s="182"/>
      <x:c r="C12" s="182"/>
      <x:c r="D12" s="182"/>
      <x:c r="E12" s="182"/>
      <x:c r="F12" s="182"/>
      <x:c r="G12" s="182"/>
      <x:c r="H12" s="182"/>
      <x:c r="I12" s="182"/>
      <x:c r="J12" s="182"/>
      <x:c r="K12" s="182"/>
      <x:c r="L12" s="182"/>
      <x:c r="M12" s="182"/>
      <x:c r="N12" s="183"/>
    </x:row>
    <x:row r="14" ht="30" customHeight="1">
      <x:c r="A14" s="23" t="str">
        <x:v>Top Business Models</x:v>
      </x:c>
      <x:c r="B14" s="23" t="str">
        <x:v>Score</x:v>
      </x:c>
      <x:c r="C14" s="23" t="str">
        <x:v>Decision</x:v>
      </x:c>
      <x:c r="D14" s="23" t="str">
        <x:v>Why</x:v>
      </x:c>
    </x:row>
    <x:row r="15">
      <x:c r="A15" s="260" t="str">
        <x:f>'Business Models'!A5</x:f>
        <x:v>Paid tastings/pop-ups + e-commerce</x:v>
      </x:c>
      <x:c r="B15" s="261" t="n">
        <x:f>'Business Models'!H5</x:f>
        <x:v>4.5329999999999995</x:v>
      </x:c>
      <x:c r="C15" s="262" t="str">
        <x:f>'Business Models'!I5</x:f>
        <x:v>Primary</x:v>
      </x:c>
      <x:c r="D15" s="263" t="str">
        <x:f>'Business Models'!J5</x:f>
        <x:v>Fast paid validation; creates content and converts experience into product sales.</x:v>
      </x:c>
    </x:row>
    <x:row r="16">
      <x:c r="A16" s="264" t="str">
        <x:f>'Business Models'!A6</x:f>
        <x:v>Content-led e-commerce / subscription</x:v>
      </x:c>
      <x:c r="B16" s="265" t="n">
        <x:f>'Business Models'!H6</x:f>
        <x:v>4.474</x:v>
      </x:c>
      <x:c r="C16" s="266" t="str">
        <x:f>'Business Models'!I6</x:f>
        <x:v>Primary support</x:v>
      </x:c>
      <x:c r="D16" s="267" t="str">
        <x:f>'Business Models'!J6</x:f>
        <x:v>Best China/U.S. flexibility; requires disciplined conversion from views to orders.</x:v>
      </x:c>
    </x:row>
    <x:row r="17">
      <x:c r="A17" s="268" t="str">
        <x:f>'Business Models'!A7</x:f>
        <x:v>Corporate/private events + gifting</x:v>
      </x:c>
      <x:c r="B17" s="269" t="n">
        <x:f>'Business Models'!H7</x:f>
        <x:v>4.1770000000000005</x:v>
      </x:c>
      <x:c r="C17" s="270" t="str">
        <x:f>'Business Models'!I7</x:f>
        <x:v>Build early</x:v>
      </x:c>
      <x:c r="D17" s="271" t="str">
        <x:f>'Business Models'!J7</x:f>
        <x:v>High-ticket B2B can subsidize education and build predictable seasonal demand.</x:v>
      </x:c>
    </x:row>
    <x:row r="20" ht="30" customHeight="1">
      <x:c r="A20" s="23" t="str">
        <x:v>Top Markets</x:v>
      </x:c>
      <x:c r="B20" s="23" t="str">
        <x:v>Score</x:v>
      </x:c>
      <x:c r="C20" s="23" t="str">
        <x:v>Role</x:v>
      </x:c>
      <x:c r="D20" s="23" t="str">
        <x:v>Neighborhoods</x:v>
      </x:c>
    </x:row>
    <x:row r="21">
      <x:c r="A21" s="260" t="str">
        <x:f>'City Scorecard'!A5</x:f>
        <x:v>Los Angeles / San Gabriel Valley</x:v>
      </x:c>
      <x:c r="B21" s="261" t="n">
        <x:f>'City Scorecard'!I5</x:f>
        <x:v>4.395</x:v>
      </x:c>
      <x:c r="C21" s="262" t="str">
        <x:f>'City Scorecard'!J5</x:f>
        <x:v>Primary validation</x:v>
      </x:c>
      <x:c r="D21" s="263" t="str">
        <x:f>'City Scorecard'!K5</x:f>
        <x:v>Pasadena; Alhambra/Arcadia; Chinatown/Silver Lake</x:v>
      </x:c>
    </x:row>
    <x:row r="22">
      <x:c r="A22" s="264" t="str">
        <x:f>'City Scorecard'!A6</x:f>
        <x:v>San Francisco Bay Area</x:v>
      </x:c>
      <x:c r="B22" s="265" t="n">
        <x:f>'City Scorecard'!I6</x:f>
        <x:v>4.165</x:v>
      </x:c>
      <x:c r="C22" s="266" t="str">
        <x:f>'City Scorecard'!J6</x:f>
        <x:v>Premium pop-up / B2B test</x:v>
      </x:c>
      <x:c r="D22" s="267" t="str">
        <x:f>'City Scorecard'!K6</x:f>
        <x:v>Inner Richmond/Japantown; Berkeley; Peninsula</x:v>
      </x:c>
    </x:row>
    <x:row r="23">
      <x:c r="A23" s="264" t="str">
        <x:f>'City Scorecard'!A7</x:f>
        <x:v>Seattle</x:v>
      </x:c>
      <x:c r="B23" s="265" t="n">
        <x:f>'City Scorecard'!I7</x:f>
        <x:v>4.1499999999999995</x:v>
      </x:c>
      <x:c r="C23" s="266" t="str">
        <x:f>'City Scorecard'!J7</x:f>
        <x:v>Primary validation</x:v>
      </x:c>
      <x:c r="D23" s="267" t="str">
        <x:f>'City Scorecard'!K7</x:f>
        <x:v>Fremont/Wallingford; Capitol Hill; International District</x:v>
      </x:c>
    </x:row>
    <x:row r="24">
      <x:c r="A24" s="264" t="str">
        <x:f>'City Scorecard'!A8</x:f>
        <x:v>New York City</x:v>
      </x:c>
      <x:c r="B24" s="265" t="n">
        <x:f>'City Scorecard'!I8</x:f>
        <x:v>4.135</x:v>
      </x:c>
      <x:c r="C24" s="266" t="str">
        <x:f>'City Scorecard'!J8</x:f>
        <x:v>Pop-ups/collaborations only</x:v>
      </x:c>
      <x:c r="D24" s="267" t="str">
        <x:f>'City Scorecard'!K8</x:f>
        <x:v>Flushing; Lower Manhattan; Brooklyn</x:v>
      </x:c>
    </x:row>
    <x:row r="25">
      <x:c r="A25" s="268" t="str">
        <x:f>'City Scorecard'!A9</x:f>
        <x:v>Austin</x:v>
      </x:c>
      <x:c r="B25" s="269" t="n">
        <x:f>'City Scorecard'!I9</x:f>
        <x:v>3.955</x:v>
      </x:c>
      <x:c r="C25" s="270" t="str">
        <x:f>'City Scorecard'!J9</x:f>
        <x:v>Primary validation</x:v>
      </x:c>
      <x:c r="D25" s="271" t="str">
        <x:f>'City Scorecard'!K9</x:f>
        <x:v>East Austin; North Loop/Hyde Park; central event venues</x:v>
      </x:c>
    </x:row>
    <x:row r="27" ht="24" customHeight="1">
      <x:c r="A27" s="152" t="str">
        <x:v>LEASE-READINESS SUMMARY</x:v>
      </x:c>
      <x:c r="B27" s="152"/>
      <x:c r="C27" s="152"/>
      <x:c r="D27" s="152"/>
    </x:row>
    <x:row r="28">
      <x:c r="A28" s="66" t="str">
        <x:v>Demand</x:v>
      </x:c>
      <x:c r="B28" s="295" t="str">
        <x:v>10 paid events; &gt;=70% paid capacity; 200 paid customers in one metro</x:v>
      </x:c>
      <x:c r="C28" s="295" t="str">
        <x:v>Status</x:v>
      </x:c>
      <x:c r="D28" s="307" t="str">
        <x:v>Not Tested</x:v>
      </x:c>
    </x:row>
    <x:row r="29">
      <x:c r="A29" s="67" t="str">
        <x:v>Repeat</x:v>
      </x:c>
      <x:c r="B29" s="296" t="str">
        <x:v>&gt;=35% 90-day repeat or equivalent recurring retention</x:v>
      </x:c>
      <x:c r="C29" s="296" t="str">
        <x:v>Status</x:v>
      </x:c>
      <x:c r="D29" s="308" t="str">
        <x:v>Not Tested</x:v>
      </x:c>
    </x:row>
    <x:row r="30">
      <x:c r="A30" s="67" t="str">
        <x:v>Economics</x:v>
      </x:c>
      <x:c r="B30" s="296" t="str">
        <x:v>&gt;=65% product gross margin; CAC payback &lt;=90 days</x:v>
      </x:c>
      <x:c r="C30" s="296" t="str">
        <x:v>Status</x:v>
      </x:c>
      <x:c r="D30" s="308" t="str">
        <x:v>Not Tested</x:v>
      </x:c>
    </x:row>
    <x:row r="31">
      <x:c r="A31" s="67" t="str">
        <x:v>People</x:v>
      </x:c>
      <x:c r="B31" s="296" t="str">
        <x:v>One vetted manager who passes a paid trial</x:v>
      </x:c>
      <x:c r="C31" s="296" t="str">
        <x:v>Status</x:v>
      </x:c>
      <x:c r="D31" s="308" t="str">
        <x:v>Not Tested</x:v>
      </x:c>
    </x:row>
    <x:row r="32">
      <x:c r="A32" s="67" t="str">
        <x:v>Runway</x:v>
      </x:c>
      <x:c r="B32" s="296" t="str">
        <x:v>12 months after build-out + 20% contingency; survives -30% sales</x:v>
      </x:c>
      <x:c r="C32" s="296" t="str">
        <x:v>Status</x:v>
      </x:c>
      <x:c r="D32" s="308" t="str">
        <x:v>Not Tested</x:v>
      </x:c>
    </x:row>
    <x:row r="33">
      <x:c r="A33" s="68" t="str">
        <x:v>Pre-lease revenue</x:v>
      </x:c>
      <x:c r="B33" s="297" t="str">
        <x:v>&gt;=$20k/month before studio; &gt;=$35k/month before retail</x:v>
      </x:c>
      <x:c r="C33" s="297" t="str">
        <x:v>Status</x:v>
      </x:c>
      <x:c r="D33" s="309" t="str">
        <x:v>Not Tested</x:v>
      </x:c>
    </x:row>
  </x:sheetData>
  <x:mergeCells>
    <x:mergeCell ref="A1:N1"/>
    <x:mergeCell ref="A2:N2"/>
    <x:mergeCell ref="A4:C4"/>
    <x:mergeCell ref="A5:C7"/>
    <x:mergeCell ref="D4:F4"/>
    <x:mergeCell ref="D5:F7"/>
    <x:mergeCell ref="G4:I4"/>
    <x:mergeCell ref="G5:I7"/>
    <x:mergeCell ref="J4:L4"/>
    <x:mergeCell ref="J5:L7"/>
    <x:mergeCell ref="A9:N9"/>
    <x:mergeCell ref="A10:N12"/>
    <x:mergeCell ref="A27:D27"/>
  </x:mergeCells>
  <x:pageMargins left="0.7" right="0.7" top="0.75" bottom="0.75" header="0.3" footer="0.3"/>
  <x:drawing xmlns:r="http://schemas.openxmlformats.org/officeDocument/2006/relationships" r:id="R2b7e926828eb4fde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3" hidden="0" customWidth="1"/>
    <x:col min="9" max="9" width="18" hidden="0" customWidth="1"/>
    <x:col min="10" max="10" width="58" hidden="0" customWidth="1"/>
  </x:cols>
  <x:sheetData>
    <x:row r="1" ht="34" customHeight="1">
      <x:c r="A1" s="5" t="str">
        <x:v>Business-Model Comparison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Scores are directional analyst judgments from 1 (weak) to 5 (strong).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30" customHeight="1">
      <x:c r="A3" s="23" t="str">
        <x:v>Model</x:v>
      </x:c>
      <x:c r="B3" s="23" t="str">
        <x:v>Validation Speed</x:v>
      </x:c>
      <x:c r="C3" s="23" t="str">
        <x:v>Capital Efficiency</x:v>
      </x:c>
      <x:c r="D3" s="23" t="str">
        <x:v>Founder-Location Fit</x:v>
      </x:c>
      <x:c r="E3" s="23" t="str">
        <x:v>Repeat/Margin Potential</x:v>
      </x:c>
      <x:c r="F3" s="23" t="str">
        <x:v>Operating Simplicity</x:v>
      </x:c>
      <x:c r="G3" s="23" t="str">
        <x:v>Mission/Brand Fit</x:v>
      </x:c>
      <x:c r="H3" s="23" t="str">
        <x:v>Weighted Score</x:v>
      </x:c>
      <x:c r="I3" s="23" t="str">
        <x:v>Recommendation</x:v>
      </x:c>
      <x:c r="J3" s="23" t="str">
        <x:v>Key Logic</x:v>
      </x:c>
    </x:row>
    <x:row r="4">
      <x:c r="A4" s="66" t="str">
        <x:v>Weights</x:v>
      </x:c>
      <x:c r="B4" s="351" t="n">
        <x:v>0.2</x:v>
      </x:c>
      <x:c r="C4" s="351" t="n">
        <x:v>0.18</x:v>
      </x:c>
      <x:c r="D4" s="351" t="n">
        <x:v>0.17</x:v>
      </x:c>
      <x:c r="E4" s="351" t="n">
        <x:v>0.15</x:v>
      </x:c>
      <x:c r="F4" s="351" t="n">
        <x:v>0.15</x:v>
      </x:c>
      <x:c r="G4" s="351" t="n">
        <x:v>0.15</x:v>
      </x:c>
      <x:c r="H4" s="295" t="str"/>
      <x:c r="I4" s="295" t="str"/>
      <x:c r="J4" s="55" t="str"/>
    </x:row>
    <x:row r="5">
      <x:c r="A5" s="56" t="str">
        <x:v>Paid tastings/pop-ups + e-commerce</x:v>
      </x:c>
      <x:c r="B5" s="352" t="n">
        <x:v>4.8</x:v>
      </x:c>
      <x:c r="C5" s="352" t="n">
        <x:v>4.6</x:v>
      </x:c>
      <x:c r="D5" s="352" t="n">
        <x:v>4.5</x:v>
      </x:c>
      <x:c r="E5" s="352" t="n">
        <x:v>4.2</x:v>
      </x:c>
      <x:c r="F5" s="352" t="n">
        <x:v>4.2</x:v>
      </x:c>
      <x:c r="G5" s="352" t="n">
        <x:v>4.8</x:v>
      </x:c>
      <x:c r="H5" s="353" t="n">
        <x:f>SUMPRODUCT(B5:G5,$B$4:$G$4)</x:f>
        <x:v>4.5329999999999995</x:v>
      </x:c>
      <x:c r="I5" s="296" t="str">
        <x:v>Primary</x:v>
      </x:c>
      <x:c r="J5" s="57" t="str">
        <x:v>Fast paid validation; creates content and converts experience into product sales.</x:v>
      </x:c>
    </x:row>
    <x:row r="6">
      <x:c r="A6" s="56" t="str">
        <x:v>Content-led e-commerce / subscription</x:v>
      </x:c>
      <x:c r="B6" s="352" t="n">
        <x:v>4.2</x:v>
      </x:c>
      <x:c r="C6" s="352" t="n">
        <x:v>4.8</x:v>
      </x:c>
      <x:c r="D6" s="352" t="n">
        <x:v>5</x:v>
      </x:c>
      <x:c r="E6" s="352" t="n">
        <x:v>4.2</x:v>
      </x:c>
      <x:c r="F6" s="352" t="n">
        <x:v>4.5</x:v>
      </x:c>
      <x:c r="G6" s="352" t="n">
        <x:v>4.1</x:v>
      </x:c>
      <x:c r="H6" s="353" t="n">
        <x:f>SUMPRODUCT(B6:G6,$B$4:$G$4)</x:f>
        <x:v>4.474</x:v>
      </x:c>
      <x:c r="I6" s="296" t="str">
        <x:v>Primary support</x:v>
      </x:c>
      <x:c r="J6" s="57" t="str">
        <x:v>Best China/U.S. flexibility; requires disciplined conversion from views to orders.</x:v>
      </x:c>
    </x:row>
    <x:row r="7">
      <x:c r="A7" s="56" t="str">
        <x:v>Corporate/private events + gifting</x:v>
      </x:c>
      <x:c r="B7" s="352" t="n">
        <x:v>4</x:v>
      </x:c>
      <x:c r="C7" s="352" t="n">
        <x:v>4.2</x:v>
      </x:c>
      <x:c r="D7" s="352" t="n">
        <x:v>4.3</x:v>
      </x:c>
      <x:c r="E7" s="352" t="n">
        <x:v>4.4</x:v>
      </x:c>
      <x:c r="F7" s="352" t="n">
        <x:v>4</x:v>
      </x:c>
      <x:c r="G7" s="352" t="n">
        <x:v>4.2</x:v>
      </x:c>
      <x:c r="H7" s="353" t="n">
        <x:f>SUMPRODUCT(B7:G7,$B$4:$G$4)</x:f>
        <x:v>4.1770000000000005</x:v>
      </x:c>
      <x:c r="I7" s="296" t="str">
        <x:v>Build early</x:v>
      </x:c>
      <x:c r="J7" s="57" t="str">
        <x:v>High-ticket B2B can subsidize education and build predictable seasonal demand.</x:v>
      </x:c>
    </x:row>
    <x:row r="8">
      <x:c r="A8" s="56" t="str">
        <x:v>Wholesale / hospitality supply</x:v>
      </x:c>
      <x:c r="B8" s="352" t="n">
        <x:v>3.5</x:v>
      </x:c>
      <x:c r="C8" s="352" t="n">
        <x:v>4.1</x:v>
      </x:c>
      <x:c r="D8" s="352" t="n">
        <x:v>4.5</x:v>
      </x:c>
      <x:c r="E8" s="352" t="n">
        <x:v>4.4</x:v>
      </x:c>
      <x:c r="F8" s="352" t="n">
        <x:v>3.8</x:v>
      </x:c>
      <x:c r="G8" s="352" t="n">
        <x:v>3.6</x:v>
      </x:c>
      <x:c r="H8" s="353" t="n">
        <x:f>SUMPRODUCT(B8:G8,$B$4:$G$4)</x:f>
        <x:v>3.973</x:v>
      </x:c>
      <x:c r="I8" s="296" t="str">
        <x:v>Selective</x:v>
      </x:c>
      <x:c r="J8" s="57" t="str">
        <x:v>Scales without seats; needs quality consistency and a clear buyer proposition.</x:v>
      </x:c>
    </x:row>
    <x:row r="9">
      <x:c r="A9" s="56" t="str">
        <x:v>Appointment-based tasting studio</x:v>
      </x:c>
      <x:c r="B9" s="352" t="n">
        <x:v>3.4</x:v>
      </x:c>
      <x:c r="C9" s="352" t="n">
        <x:v>3</x:v>
      </x:c>
      <x:c r="D9" s="352" t="n">
        <x:v>3.4</x:v>
      </x:c>
      <x:c r="E9" s="352" t="n">
        <x:v>4.2</x:v>
      </x:c>
      <x:c r="F9" s="352" t="n">
        <x:v>3.2</x:v>
      </x:c>
      <x:c r="G9" s="352" t="n">
        <x:v>4.8</x:v>
      </x:c>
      <x:c r="H9" s="353" t="n">
        <x:f>SUMPRODUCT(B9:G9,$B$4:$G$4)</x:f>
        <x:v>3.628</x:v>
      </x:c>
      <x:c r="I9" s="296" t="str">
        <x:v>Later gate</x:v>
      </x:c>
      <x:c r="J9" s="57" t="str">
        <x:v>Strong brand fit, but only after local repeat demand and manager economics are proven.</x:v>
      </x:c>
    </x:row>
    <x:row r="10">
      <x:c r="A10" s="56" t="str">
        <x:v>Small showroom / retail shop</x:v>
      </x:c>
      <x:c r="B10" s="352" t="n">
        <x:v>2.6</x:v>
      </x:c>
      <x:c r="C10" s="352" t="n">
        <x:v>2.2</x:v>
      </x:c>
      <x:c r="D10" s="352" t="n">
        <x:v>2.7</x:v>
      </x:c>
      <x:c r="E10" s="352" t="n">
        <x:v>3.6</x:v>
      </x:c>
      <x:c r="F10" s="352" t="n">
        <x:v>2.5</x:v>
      </x:c>
      <x:c r="G10" s="352" t="n">
        <x:v>4.2</x:v>
      </x:c>
      <x:c r="H10" s="353" t="n">
        <x:f>SUMPRODUCT(B10:G10,$B$4:$G$4)</x:f>
        <x:v>2.92</x:v>
      </x:c>
      <x:c r="I10" s="296" t="str">
        <x:v>Do not start here</x:v>
      </x:c>
      <x:c r="J10" s="57" t="str">
        <x:v>Rent and staffing arrive before enough demand is known.</x:v>
      </x:c>
    </x:row>
    <x:row r="11">
      <x:c r="A11" s="56" t="str">
        <x:v>Quick-service modern tea bar</x:v>
      </x:c>
      <x:c r="B11" s="352" t="n">
        <x:v>2.8</x:v>
      </x:c>
      <x:c r="C11" s="352" t="n">
        <x:v>2.3</x:v>
      </x:c>
      <x:c r="D11" s="352" t="n">
        <x:v>2.4</x:v>
      </x:c>
      <x:c r="E11" s="352" t="n">
        <x:v>4</x:v>
      </x:c>
      <x:c r="F11" s="352" t="n">
        <x:v>2.5</x:v>
      </x:c>
      <x:c r="G11" s="352" t="n">
        <x:v>3</x:v>
      </x:c>
      <x:c r="H11" s="353" t="n">
        <x:f>SUMPRODUCT(B11:G11,$B$4:$G$4)</x:f>
        <x:v>2.8070000000000004</x:v>
      </x:c>
      <x:c r="I11" s="296" t="str">
        <x:v>Separate concept</x:v>
      </x:c>
      <x:c r="J11" s="57" t="str">
        <x:v>Potentially larger frequency, but competes directly with boba/matcha/coffee and needs operations.</x:v>
      </x:c>
    </x:row>
    <x:row r="12">
      <x:c r="A12" s="58" t="str">
        <x:v>Manager-operated sit-down tea house</x:v>
      </x:c>
      <x:c r="B12" s="354" t="n">
        <x:v>2.2</x:v>
      </x:c>
      <x:c r="C12" s="354" t="n">
        <x:v>1.6</x:v>
      </x:c>
      <x:c r="D12" s="354" t="n">
        <x:v>1.9</x:v>
      </x:c>
      <x:c r="E12" s="354" t="n">
        <x:v>3.8</x:v>
      </x:c>
      <x:c r="F12" s="354" t="n">
        <x:v>1.8</x:v>
      </x:c>
      <x:c r="G12" s="354" t="n">
        <x:v>4.5</x:v>
      </x:c>
      <x:c r="H12" s="355" t="n">
        <x:f>SUMPRODUCT(B12:G12,$B$4:$G$4)</x:f>
        <x:v>2.566</x:v>
      </x:c>
      <x:c r="I12" s="297" t="str">
        <x:v>Last option</x:v>
      </x:c>
      <x:c r="J12" s="59" t="str">
        <x:v>Highest mission fit but worst capital, remote-control and downside profile.</x:v>
      </x:c>
    </x:row>
  </x:sheetData>
  <x:mergeCells>
    <x:mergeCell ref="A1:J1"/>
    <x:mergeCell ref="A2:J2"/>
  </x:mergeCells>
  <x:conditionalFormatting sqref="H5:H1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3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2" hidden="0" customWidth="1"/>
    <x:col min="10" max="10" width="20" hidden="0" customWidth="1"/>
    <x:col min="11" max="11" width="35" hidden="0" customWidth="1"/>
    <x:col min="12" max="12" width="62" hidden="0" customWidth="1"/>
    <x:col min="13" max="13" width="32" hidden="0" customWidth="1"/>
  </x:cols>
  <x:sheetData>
    <x:row r="1" ht="34" customHeight="1">
      <x:c r="A1" s="5" t="str">
        <x:v>15-Market Directional Scorecard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A screening tool—not a site-selection conclusion. Validate by neighborhood with paid behavior.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0" customHeight="1">
      <x:c r="A3" s="23" t="str">
        <x:v>Metro</x:v>
      </x:c>
      <x:c r="B3" s="23" t="str">
        <x:v>Direct Tea Proof</x:v>
      </x:c>
      <x:c r="C3" s="23" t="str">
        <x:v>Adjacent Culture</x:v>
      </x:c>
      <x:c r="D3" s="23" t="str">
        <x:v>Income / Education</x:v>
      </x:c>
      <x:c r="E3" s="23" t="str">
        <x:v>Asian / International</x:v>
      </x:c>
      <x:c r="F3" s="23" t="str">
        <x:v>Cost / Operating Fit</x:v>
      </x:c>
      <x:c r="G3" s="23" t="str">
        <x:v>China / Logistics Fit</x:v>
      </x:c>
      <x:c r="H3" s="23" t="str">
        <x:v>Content / Tourism</x:v>
      </x:c>
      <x:c r="I3" s="23" t="str">
        <x:v>Weighted Score</x:v>
      </x:c>
      <x:c r="J3" s="23" t="str">
        <x:v>Recommended Role</x:v>
      </x:c>
      <x:c r="K3" s="23" t="str">
        <x:v>Candidate Neighborhoods</x:v>
      </x:c>
      <x:c r="L3" s="23" t="str">
        <x:v>Reason / Primary Concern</x:v>
      </x:c>
      <x:c r="M3" s="23" t="str">
        <x:v>Score Basis</x:v>
      </x:c>
    </x:row>
    <x:row r="4">
      <x:c r="A4" s="66" t="str">
        <x:v>Weights</x:v>
      </x:c>
      <x:c r="B4" s="351" t="n">
        <x:v>0.2</x:v>
      </x:c>
      <x:c r="C4" s="351" t="n">
        <x:v>0.15</x:v>
      </x:c>
      <x:c r="D4" s="351" t="n">
        <x:v>0.15</x:v>
      </x:c>
      <x:c r="E4" s="351" t="n">
        <x:v>0.15</x:v>
      </x:c>
      <x:c r="F4" s="351" t="n">
        <x:v>0.15</x:v>
      </x:c>
      <x:c r="G4" s="351" t="n">
        <x:v>0.1</x:v>
      </x:c>
      <x:c r="H4" s="351" t="n">
        <x:v>0.1</x:v>
      </x:c>
      <x:c r="I4" s="295" t="str"/>
      <x:c r="J4" s="295" t="str"/>
      <x:c r="K4" s="295" t="str"/>
      <x:c r="L4" s="295" t="str"/>
      <x:c r="M4" s="55" t="str"/>
      <x:c r="N4" t="str"/>
    </x:row>
    <x:row r="5">
      <x:c r="A5" s="56" t="str">
        <x:v>Los Angeles / San Gabriel Valley</x:v>
      </x:c>
      <x:c r="B5" s="352" t="n">
        <x:v>4.8</x:v>
      </x:c>
      <x:c r="C5" s="352" t="n">
        <x:v>4.7</x:v>
      </x:c>
      <x:c r="D5" s="352" t="n">
        <x:v>4.1</x:v>
      </x:c>
      <x:c r="E5" s="352" t="n">
        <x:v>5</x:v>
      </x:c>
      <x:c r="F5" s="352" t="n">
        <x:v>2.7</x:v>
      </x:c>
      <x:c r="G5" s="352" t="n">
        <x:v>4.8</x:v>
      </x:c>
      <x:c r="H5" s="352" t="n">
        <x:v>4.8</x:v>
      </x:c>
      <x:c r="I5" s="353" t="n">
        <x:f>SUMPRODUCT(B5:H5,$B$4:$H$4)</x:f>
        <x:v>4.395</x:v>
      </x:c>
      <x:c r="J5" s="296" t="str">
        <x:v>Primary validation</x:v>
      </x:c>
      <x:c r="K5" s="296" t="str">
        <x:v>Pasadena; Alhambra/Arcadia; Chinatown/Silver Lake</x:v>
      </x:c>
      <x:c r="L5" s="296" t="str">
        <x:v>Best mix of diaspora depth, media/content, paid tea proof and China logistics; still competitive and expensive.</x:v>
      </x:c>
      <x:c r="M5" s="57" t="str">
        <x:v>Analyst 1–5 score from current comparables, demographics and cost signals</x:v>
      </x:c>
    </x:row>
    <x:row r="6">
      <x:c r="A6" s="56" t="str">
        <x:v>San Francisco Bay Area</x:v>
      </x:c>
      <x:c r="B6" s="352" t="n">
        <x:v>4.8</x:v>
      </x:c>
      <x:c r="C6" s="352" t="n">
        <x:v>4.7</x:v>
      </x:c>
      <x:c r="D6" s="352" t="n">
        <x:v>5</x:v>
      </x:c>
      <x:c r="E6" s="352" t="n">
        <x:v>4.8</x:v>
      </x:c>
      <x:c r="F6" s="352" t="n">
        <x:v>1.2</x:v>
      </x:c>
      <x:c r="G6" s="352" t="n">
        <x:v>3.8</x:v>
      </x:c>
      <x:c r="H6" s="352" t="n">
        <x:v>4.7</x:v>
      </x:c>
      <x:c r="I6" s="353" t="n">
        <x:f>SUMPRODUCT(B6:H6,$B$4:$H$4)</x:f>
        <x:v>4.165</x:v>
      </x:c>
      <x:c r="J6" s="296" t="str">
        <x:v>Premium pop-up / B2B test</x:v>
      </x:c>
      <x:c r="K6" s="296" t="str">
        <x:v>Inner Richmond/Japantown; Berkeley; Peninsula</x:v>
      </x:c>
      <x:c r="L6" s="296" t="str">
        <x:v>Exceptional spending power and tea literacy; high labor/rent make a first lease unattractive.</x:v>
      </x:c>
      <x:c r="M6" s="57" t="str">
        <x:v>Analyst 1–5 score from current comparables, demographics and cost signals</x:v>
      </x:c>
    </x:row>
    <x:row r="7">
      <x:c r="A7" s="56" t="str">
        <x:v>Seattle</x:v>
      </x:c>
      <x:c r="B7" s="352" t="n">
        <x:v>4.6</x:v>
      </x:c>
      <x:c r="C7" s="352" t="n">
        <x:v>4.5</x:v>
      </x:c>
      <x:c r="D7" s="352" t="n">
        <x:v>4.8</x:v>
      </x:c>
      <x:c r="E7" s="352" t="n">
        <x:v>4</x:v>
      </x:c>
      <x:c r="F7" s="352" t="n">
        <x:v>2.5</x:v>
      </x:c>
      <x:c r="G7" s="352" t="n">
        <x:v>4.4</x:v>
      </x:c>
      <x:c r="H7" s="352" t="n">
        <x:v>4.2</x:v>
      </x:c>
      <x:c r="I7" s="353" t="n">
        <x:f>SUMPRODUCT(B7:H7,$B$4:$H$4)</x:f>
        <x:v>4.1499999999999995</x:v>
      </x:c>
      <x:c r="J7" s="296" t="str">
        <x:v>Primary validation</x:v>
      </x:c>
      <x:c r="K7" s="296" t="str">
        <x:v>Fremont/Wallingford; Capitol Hill; International District</x:v>
      </x:c>
      <x:c r="L7" s="296" t="str">
        <x:v>Deep specialist-tea ecosystem and educated customers; high wage floor and strong incumbents.</x:v>
      </x:c>
      <x:c r="M7" s="57" t="str">
        <x:v>Analyst 1–5 score from current comparables, demographics and cost signals</x:v>
      </x:c>
    </x:row>
    <x:row r="8">
      <x:c r="A8" s="56" t="str">
        <x:v>New York City</x:v>
      </x:c>
      <x:c r="B8" s="352" t="n">
        <x:v>4.7</x:v>
      </x:c>
      <x:c r="C8" s="352" t="n">
        <x:v>4.8</x:v>
      </x:c>
      <x:c r="D8" s="352" t="n">
        <x:v>4.1</x:v>
      </x:c>
      <x:c r="E8" s="352" t="n">
        <x:v>4.8</x:v>
      </x:c>
      <x:c r="F8" s="352" t="n">
        <x:v>1.6</x:v>
      </x:c>
      <x:c r="G8" s="352" t="n">
        <x:v>4</x:v>
      </x:c>
      <x:c r="H8" s="352" t="n">
        <x:v>5</x:v>
      </x:c>
      <x:c r="I8" s="353" t="n">
        <x:f>SUMPRODUCT(B8:H8,$B$4:$H$4)</x:f>
        <x:v>4.135</x:v>
      </x:c>
      <x:c r="J8" s="296" t="str">
        <x:v>Pop-ups/collaborations only</x:v>
      </x:c>
      <x:c r="K8" s="296" t="str">
        <x:v>Flushing; Lower Manhattan; Brooklyn</x:v>
      </x:c>
      <x:c r="L8" s="296" t="str">
        <x:v>Huge experience market and diaspora; extreme cost and competition punish an unproven lease.</x:v>
      </x:c>
      <x:c r="M8" s="57" t="str">
        <x:v>Analyst 1–5 score from current comparables, demographics and cost signals</x:v>
      </x:c>
    </x:row>
    <x:row r="9">
      <x:c r="A9" s="56" t="str">
        <x:v>Austin</x:v>
      </x:c>
      <x:c r="B9" s="352" t="n">
        <x:v>4.2</x:v>
      </x:c>
      <x:c r="C9" s="352" t="n">
        <x:v>4.5</x:v>
      </x:c>
      <x:c r="D9" s="352" t="n">
        <x:v>4.3</x:v>
      </x:c>
      <x:c r="E9" s="352" t="n">
        <x:v>3</x:v>
      </x:c>
      <x:c r="F9" s="352" t="n">
        <x:v>3.5</x:v>
      </x:c>
      <x:c r="G9" s="352" t="n">
        <x:v>3.8</x:v>
      </x:c>
      <x:c r="H9" s="352" t="n">
        <x:v>4.4</x:v>
      </x:c>
      <x:c r="I9" s="353" t="n">
        <x:f>SUMPRODUCT(B9:H9,$B$4:$H$4)</x:f>
        <x:v>3.955</x:v>
      </x:c>
      <x:c r="J9" s="296" t="str">
        <x:v>Primary validation</x:v>
      </x:c>
      <x:c r="K9" s="296" t="str">
        <x:v>East Austin; North Loop/Hyde Park; central event venues</x:v>
      </x:c>
      <x:c r="L9" s="296" t="str">
        <x:v>West China Tea proves community demand; lower cost and creator/tech audience, but smaller direct market.</x:v>
      </x:c>
      <x:c r="M9" s="57" t="str">
        <x:v>Analyst 1–5 score from current comparables, demographics and cost signals</x:v>
      </x:c>
    </x:row>
    <x:row r="10">
      <x:c r="A10" s="56" t="str">
        <x:v>San Diego</x:v>
      </x:c>
      <x:c r="B10" s="352" t="n">
        <x:v>3.7</x:v>
      </x:c>
      <x:c r="C10" s="352" t="n">
        <x:v>4.2</x:v>
      </x:c>
      <x:c r="D10" s="352" t="n">
        <x:v>4.2</x:v>
      </x:c>
      <x:c r="E10" s="352" t="n">
        <x:v>4</x:v>
      </x:c>
      <x:c r="F10" s="352" t="n">
        <x:v>2.8</x:v>
      </x:c>
      <x:c r="G10" s="352" t="n">
        <x:v>4.3</x:v>
      </x:c>
      <x:c r="H10" s="352" t="n">
        <x:v>4.2</x:v>
      </x:c>
      <x:c r="I10" s="353" t="n">
        <x:f>SUMPRODUCT(B10:H10,$B$4:$H$4)</x:f>
        <x:v>3.87</x:v>
      </x:c>
      <x:c r="J10" s="296" t="str">
        <x:v>Secondary</x:v>
      </x:c>
      <x:c r="K10" s="296" t="str">
        <x:v>Convoy; North Park; UTC/La Jolla events</x:v>
      </x:c>
      <x:c r="L10" s="296" t="str">
        <x:v>Strong Asian food and lifestyle market; direct traditional-tea proof is thinner.</x:v>
      </x:c>
      <x:c r="M10" s="57" t="str">
        <x:v>Analyst 1–5 score from current comparables, demographics and cost signals</x:v>
      </x:c>
    </x:row>
    <x:row r="11">
      <x:c r="A11" s="56" t="str">
        <x:v>Chicago</x:v>
      </x:c>
      <x:c r="B11" s="352" t="n">
        <x:v>4.1</x:v>
      </x:c>
      <x:c r="C11" s="352" t="n">
        <x:v>4.4</x:v>
      </x:c>
      <x:c r="D11" s="352" t="n">
        <x:v>3.7</x:v>
      </x:c>
      <x:c r="E11" s="352" t="n">
        <x:v>3.7</x:v>
      </x:c>
      <x:c r="F11" s="352" t="n">
        <x:v>3.4</x:v>
      </x:c>
      <x:c r="G11" s="352" t="n">
        <x:v>3.4</x:v>
      </x:c>
      <x:c r="H11" s="352" t="n">
        <x:v>4.2</x:v>
      </x:c>
      <x:c r="I11" s="353" t="n">
        <x:f>SUMPRODUCT(B11:H11,$B$4:$H$4)</x:f>
        <x:v>3.8600000000000003</x:v>
      </x:c>
      <x:c r="J11" s="296" t="str">
        <x:v>Secondary</x:v>
      </x:c>
      <x:c r="K11" s="296" t="str">
        <x:v>West Loop; Lakeview; Chinatown/Bridgeport</x:v>
      </x:c>
      <x:c r="L11" s="296" t="str">
        <x:v>Multiple current tea concepts and lower occupancy burden than coastal leaders.</x:v>
      </x:c>
      <x:c r="M11" s="57" t="str">
        <x:v>Analyst 1–5 score from current comparables, demographics and cost signals</x:v>
      </x:c>
    </x:row>
    <x:row r="12">
      <x:c r="A12" s="56" t="str">
        <x:v>Washington, DC</x:v>
      </x:c>
      <x:c r="B12" s="352" t="n">
        <x:v>3.8</x:v>
      </x:c>
      <x:c r="C12" s="352" t="n">
        <x:v>4.1</x:v>
      </x:c>
      <x:c r="D12" s="352" t="n">
        <x:v>4.7</x:v>
      </x:c>
      <x:c r="E12" s="352" t="n">
        <x:v>3.7</x:v>
      </x:c>
      <x:c r="F12" s="352" t="n">
        <x:v>2.6</x:v>
      </x:c>
      <x:c r="G12" s="352" t="n">
        <x:v>3.8</x:v>
      </x:c>
      <x:c r="H12" s="352" t="n">
        <x:v>4.3</x:v>
      </x:c>
      <x:c r="I12" s="353" t="n">
        <x:f>SUMPRODUCT(B12:H12,$B$4:$H$4)</x:f>
        <x:v>3.8350000000000004</x:v>
      </x:c>
      <x:c r="J12" s="296" t="str">
        <x:v>B2B/cultural events</x:v>
      </x:c>
      <x:c r="K12" s="296" t="str">
        <x:v>Dupont; Georgetown; Union Market</x:v>
      </x:c>
      <x:c r="L12" s="296" t="str">
        <x:v>Affluent, international and event-friendly; high costs and transient customer patterns.</x:v>
      </x:c>
      <x:c r="M12" s="57" t="str">
        <x:v>Analyst 1–5 score from current comparables, demographics and cost signals</x:v>
      </x:c>
    </x:row>
    <x:row r="13">
      <x:c r="A13" s="56" t="str">
        <x:v>Portland</x:v>
      </x:c>
      <x:c r="B13" s="352" t="n">
        <x:v>4.2</x:v>
      </x:c>
      <x:c r="C13" s="352" t="n">
        <x:v>4.4</x:v>
      </x:c>
      <x:c r="D13" s="352" t="n">
        <x:v>4</x:v>
      </x:c>
      <x:c r="E13" s="352" t="n">
        <x:v>2.7</x:v>
      </x:c>
      <x:c r="F13" s="352" t="n">
        <x:v>3.5</x:v>
      </x:c>
      <x:c r="G13" s="352" t="n">
        <x:v>3.5</x:v>
      </x:c>
      <x:c r="H13" s="352" t="n">
        <x:v>4</x:v>
      </x:c>
      <x:c r="I13" s="353" t="n">
        <x:f>SUMPRODUCT(B13:H13,$B$4:$H$4)</x:f>
        <x:v>3.78</x:v>
      </x:c>
      <x:c r="J13" s="296" t="str">
        <x:v>Secondary</x:v>
      </x:c>
      <x:c r="K13" s="296" t="str">
        <x:v>SE Belmont; Alberta; downtown cultural venues</x:v>
      </x:c>
      <x:c r="L13" s="296" t="str">
        <x:v>Long tea history and craft culture; smaller growth ceiling.</x:v>
      </x:c>
      <x:c r="M13" s="57" t="str">
        <x:v>Analyst 1–5 score from current comparables, demographics and cost signals</x:v>
      </x:c>
    </x:row>
    <x:row r="14">
      <x:c r="A14" s="56" t="str">
        <x:v>Houston</x:v>
      </x:c>
      <x:c r="B14" s="352" t="n">
        <x:v>3.4</x:v>
      </x:c>
      <x:c r="C14" s="352" t="n">
        <x:v>4.2</x:v>
      </x:c>
      <x:c r="D14" s="352" t="n">
        <x:v>3.2</x:v>
      </x:c>
      <x:c r="E14" s="352" t="n">
        <x:v>4.3</x:v>
      </x:c>
      <x:c r="F14" s="352" t="n">
        <x:v>4</x:v>
      </x:c>
      <x:c r="G14" s="352" t="n">
        <x:v>3.5</x:v>
      </x:c>
      <x:c r="H14" s="352" t="n">
        <x:v>3.9</x:v>
      </x:c>
      <x:c r="I14" s="353" t="n">
        <x:f>SUMPRODUCT(B14:H14,$B$4:$H$4)</x:f>
        <x:v>3.7750000000000004</x:v>
      </x:c>
      <x:c r="J14" s="296" t="str">
        <x:v>Diaspora/value test</x:v>
      </x:c>
      <x:c r="K14" s="296" t="str">
        <x:v>Bellaire/Asiatown; Montrose; Heights events</x:v>
      </x:c>
      <x:c r="L14" s="296" t="str">
        <x:v>Large diverse population and lower cost; car dependence and weaker direct specialist proof.</x:v>
      </x:c>
      <x:c r="M14" s="57" t="str">
        <x:v>Analyst 1–5 score from current comparables, demographics and cost signals</x:v>
      </x:c>
    </x:row>
    <x:row r="15">
      <x:c r="A15" s="56" t="str">
        <x:v>Boston</x:v>
      </x:c>
      <x:c r="B15" s="352" t="n">
        <x:v>3.7</x:v>
      </x:c>
      <x:c r="C15" s="352" t="n">
        <x:v>4</x:v>
      </x:c>
      <x:c r="D15" s="352" t="n">
        <x:v>4.8</x:v>
      </x:c>
      <x:c r="E15" s="352" t="n">
        <x:v>3.6</x:v>
      </x:c>
      <x:c r="F15" s="352" t="n">
        <x:v>2.5</x:v>
      </x:c>
      <x:c r="G15" s="352" t="n">
        <x:v>3.6</x:v>
      </x:c>
      <x:c r="H15" s="352" t="n">
        <x:v>4</x:v>
      </x:c>
      <x:c r="I15" s="353" t="n">
        <x:f>SUMPRODUCT(B15:H15,$B$4:$H$4)</x:f>
        <x:v>3.735</x:v>
      </x:c>
      <x:c r="J15" s="296" t="str">
        <x:v>University/B2B test</x:v>
      </x:c>
      <x:c r="K15" s="296" t="str">
        <x:v>Cambridge; Somerville; Back Bay events</x:v>
      </x:c>
      <x:c r="L15" s="296" t="str">
        <x:v>Educated and international customers; high cost and strong seasonality.</x:v>
      </x:c>
      <x:c r="M15" s="57" t="str">
        <x:v>Analyst 1–5 score from current comparables, demographics and cost signals</x:v>
      </x:c>
    </x:row>
    <x:row r="16">
      <x:c r="A16" s="56" t="str">
        <x:v>Denver</x:v>
      </x:c>
      <x:c r="B16" s="352" t="n">
        <x:v>3.5</x:v>
      </x:c>
      <x:c r="C16" s="352" t="n">
        <x:v>4.1</x:v>
      </x:c>
      <x:c r="D16" s="352" t="n">
        <x:v>4.2</x:v>
      </x:c>
      <x:c r="E16" s="352" t="n">
        <x:v>2.7</x:v>
      </x:c>
      <x:c r="F16" s="352" t="n">
        <x:v>3.4</x:v>
      </x:c>
      <x:c r="G16" s="352" t="n">
        <x:v>3.4</x:v>
      </x:c>
      <x:c r="H16" s="352" t="n">
        <x:v>4</x:v>
      </x:c>
      <x:c r="I16" s="353" t="n">
        <x:f>SUMPRODUCT(B16:H16,$B$4:$H$4)</x:f>
        <x:v>3.599999999999999</x:v>
      </x:c>
      <x:c r="J16" s="296" t="str">
        <x:v>Secondary</x:v>
      </x:c>
      <x:c r="K16" s="296" t="str">
        <x:v>Boulder; RiNo; South Broadway</x:v>
      </x:c>
      <x:c r="L16" s="296" t="str">
        <x:v>Wellness/craft culture and Ku Cha proof; smaller Asian ecosystem.</x:v>
      </x:c>
      <x:c r="M16" s="57" t="str">
        <x:v>Analyst 1–5 score from current comparables, demographics and cost signals</x:v>
      </x:c>
    </x:row>
    <x:row r="17">
      <x:c r="A17" s="56" t="str">
        <x:v>Philadelphia</x:v>
      </x:c>
      <x:c r="B17" s="352" t="n">
        <x:v>3.5</x:v>
      </x:c>
      <x:c r="C17" s="352" t="n">
        <x:v>3.9</x:v>
      </x:c>
      <x:c r="D17" s="352" t="n">
        <x:v>3.2</x:v>
      </x:c>
      <x:c r="E17" s="352" t="n">
        <x:v>3.3</x:v>
      </x:c>
      <x:c r="F17" s="352" t="n">
        <x:v>3.8</x:v>
      </x:c>
      <x:c r="G17" s="352" t="n">
        <x:v>3.3</x:v>
      </x:c>
      <x:c r="H17" s="352" t="n">
        <x:v>4</x:v>
      </x:c>
      <x:c r="I17" s="353" t="n">
        <x:f>SUMPRODUCT(B17:H17,$B$4:$H$4)</x:f>
        <x:v>3.56</x:v>
      </x:c>
      <x:c r="J17" s="296" t="str">
        <x:v>Low-cost event test</x:v>
      </x:c>
      <x:c r="K17" s="296" t="str">
        <x:v>Center City; University City; Fishtown</x:v>
      </x:c>
      <x:c r="L17" s="296" t="str">
        <x:v>Lower cost and strong food culture; weaker direct tea signals.</x:v>
      </x:c>
      <x:c r="M17" s="57" t="str">
        <x:v>Analyst 1–5 score from current comparables, demographics and cost signals</x:v>
      </x:c>
    </x:row>
    <x:row r="18">
      <x:c r="A18" s="56" t="str">
        <x:v>Las Vegas</x:v>
      </x:c>
      <x:c r="B18" s="352" t="n">
        <x:v>3.2</x:v>
      </x:c>
      <x:c r="C18" s="352" t="n">
        <x:v>4</x:v>
      </x:c>
      <x:c r="D18" s="352" t="n">
        <x:v>3</x:v>
      </x:c>
      <x:c r="E18" s="352" t="n">
        <x:v>3.4</x:v>
      </x:c>
      <x:c r="F18" s="352" t="n">
        <x:v>3.1</x:v>
      </x:c>
      <x:c r="G18" s="352" t="n">
        <x:v>4</x:v>
      </x:c>
      <x:c r="H18" s="352" t="n">
        <x:v>4.7</x:v>
      </x:c>
      <x:c r="I18" s="353" t="n">
        <x:f>SUMPRODUCT(B18:H18,$B$4:$H$4)</x:f>
        <x:v>3.535</x:v>
      </x:c>
      <x:c r="J18" s="296" t="str">
        <x:v>Private/tourist experience</x:v>
      </x:c>
      <x:c r="K18" s="296" t="str">
        <x:v>Chinatown; Arts District; resort partnerships</x:v>
      </x:c>
      <x:c r="L18" s="296" t="str">
        <x:v>Tourism supports experiences, but repeat local demand and occupancy economics are challenging.</x:v>
      </x:c>
      <x:c r="M18" s="57" t="str">
        <x:v>Analyst 1–5 score from current comparables, demographics and cost signals</x:v>
      </x:c>
    </x:row>
    <x:row r="19">
      <x:c r="A19" s="58" t="str">
        <x:v>Salt Lake City</x:v>
      </x:c>
      <x:c r="B19" s="354" t="n">
        <x:v>3</x:v>
      </x:c>
      <x:c r="C19" s="354" t="n">
        <x:v>3.7</x:v>
      </x:c>
      <x:c r="D19" s="354" t="n">
        <x:v>3.8</x:v>
      </x:c>
      <x:c r="E19" s="354" t="n">
        <x:v>2.2</x:v>
      </x:c>
      <x:c r="F19" s="354" t="n">
        <x:v>4.1</x:v>
      </x:c>
      <x:c r="G19" s="354" t="n">
        <x:v>3.1</x:v>
      </x:c>
      <x:c r="H19" s="354" t="n">
        <x:v>3.5</x:v>
      </x:c>
      <x:c r="I19" s="355" t="n">
        <x:f>SUMPRODUCT(B19:H19,$B$4:$H$4)</x:f>
        <x:v>3.33</x:v>
      </x:c>
      <x:c r="J19" s="297" t="str">
        <x:v>Control market, not first store</x:v>
      </x:c>
      <x:c r="K19" s="297" t="str">
        <x:v>9th &amp; 9th; Sugar House; Central 9th</x:v>
      </x:c>
      <x:c r="L19" s="297" t="str">
        <x:v>Existing tea businesses prove some demand, but the market is smaller and less internationally connected.</x:v>
      </x:c>
      <x:c r="M19" s="59" t="str">
        <x:v>Analyst 1–5 score from current comparables, demographics and cost signals</x:v>
      </x:c>
    </x:row>
  </x:sheetData>
  <x:mergeCells>
    <x:mergeCell ref="A1:M1"/>
    <x:mergeCell ref="A2:M2"/>
  </x:mergeCells>
  <x:conditionalFormatting sqref="I5:I1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42" hidden="0" customWidth="1"/>
    <x:col min="4" max="4" width="18" hidden="0" customWidth="1"/>
    <x:col min="5" max="5" width="18" hidden="0" customWidth="1"/>
    <x:col min="6" max="6" width="20" hidden="0" customWidth="1"/>
    <x:col min="7" max="7" width="21" hidden="0" customWidth="1"/>
    <x:col min="8" max="8" width="22" hidden="0" customWidth="1"/>
    <x:col min="9" max="9" width="22" hidden="0" customWidth="1"/>
    <x:col min="10" max="10" width="23" hidden="0" customWidth="1"/>
    <x:col min="11" max="11" width="65" hidden="0" customWidth="1"/>
  </x:cols>
  <x:sheetData>
    <x:row r="1" ht="34" customHeight="1">
      <x:c r="A1" s="5" t="str">
        <x:v>Illustrative Unit Economics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3" t="str">
        <x:v>Blue cells are assumptions. Formulas exclude debt service and investor return.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30" customHeight="1">
      <x:c r="A3" s="385" t="str">
        <x:v>Model</x:v>
      </x:c>
      <x:c r="B3" s="386" t="str">
        <x:v>Startup Capital ($)</x:v>
      </x:c>
      <x:c r="C3" s="386" t="str">
        <x:v>Average Ticket / Invoice ($)</x:v>
      </x:c>
      <x:c r="D3" s="386" t="str">
        <x:v>Contribution Margin</x:v>
      </x:c>
      <x:c r="E3" s="386" t="str">
        <x:v>Fixed Cost / Month ($)</x:v>
      </x:c>
      <x:c r="F3" s="386" t="str">
        <x:v>Break-Even Revenue / Month ($)</x:v>
      </x:c>
      <x:c r="G3" s="386" t="str">
        <x:v>Transactions / Month at Break-Even</x:v>
      </x:c>
      <x:c r="H3" s="386" t="str">
        <x:v>Revenue with 20% Safety Buffer ($)</x:v>
      </x:c>
      <x:c r="I3" s="386" t="str">
        <x:v>12-Month Capital Need ($)</x:v>
      </x:c>
      <x:c r="J3" s="386" t="str">
        <x:v>Operating Profit at -30% vs Break-Even ($/mo)</x:v>
      </x:c>
      <x:c r="K3" s="387" t="str">
        <x:v>Assumption Basis</x:v>
      </x:c>
    </x:row>
    <x:row r="4">
      <x:c r="A4" s="56"/>
      <x:c r="B4" s="296"/>
      <x:c r="C4" s="296"/>
      <x:c r="D4" s="296"/>
      <x:c r="E4" s="296"/>
      <x:c r="F4" s="296"/>
      <x:c r="G4" s="296"/>
      <x:c r="H4" s="296"/>
      <x:c r="I4" s="296"/>
      <x:c r="J4" s="296"/>
      <x:c r="K4" s="57"/>
    </x:row>
    <x:row r="5">
      <x:c r="A5" s="56" t="str">
        <x:v>Content-led e-commerce</x:v>
      </x:c>
      <x:c r="B5" s="407" t="n">
        <x:v>25000</x:v>
      </x:c>
      <x:c r="C5" s="407" t="n">
        <x:v>68</x:v>
      </x:c>
      <x:c r="D5" s="408" t="n">
        <x:v>0.44</x:v>
      </x:c>
      <x:c r="E5" s="407" t="n">
        <x:v>8000</x:v>
      </x:c>
      <x:c r="F5" s="409" t="n">
        <x:f>IFERROR(E5/D5,0)</x:f>
        <x:v>18181.81818181818</x:v>
      </x:c>
      <x:c r="G5" s="410" t="n">
        <x:f>IFERROR(F5/C5,0)</x:f>
        <x:v>267.379679144385</x:v>
      </x:c>
      <x:c r="H5" s="409" t="n">
        <x:f>F5*1.2</x:f>
        <x:v>21818.181818181816</x:v>
      </x:c>
      <x:c r="I5" s="409" t="n">
        <x:f>B5+(E5*12)</x:f>
        <x:v>121000</x:v>
      </x:c>
      <x:c r="J5" s="409" t="n">
        <x:f>(F5*0.7*D5)-E5</x:f>
        <x:v>-2400.000000000001</x:v>
      </x:c>
      <x:c r="K5" s="57" t="str">
        <x:v>Analyst scenario; source initial products from a U.S. importer and validate actual CAC, shipping and repeat purchase.</x:v>
      </x:c>
    </x:row>
    <x:row r="6">
      <x:c r="A6" s="56" t="str">
        <x:v>Tastings/pop-ups + e-commerce</x:v>
      </x:c>
      <x:c r="B6" s="407" t="n">
        <x:v>45000</x:v>
      </x:c>
      <x:c r="C6" s="407" t="n">
        <x:v>58</x:v>
      </x:c>
      <x:c r="D6" s="408" t="n">
        <x:v>0.55</x:v>
      </x:c>
      <x:c r="E6" s="407" t="n">
        <x:v>12000</x:v>
      </x:c>
      <x:c r="F6" s="409" t="n">
        <x:f>IFERROR(E6/D6,0)</x:f>
        <x:v>21818.181818181816</x:v>
      </x:c>
      <x:c r="G6" s="410" t="n">
        <x:f>IFERROR(F6/C6,0)</x:f>
        <x:v>376.17554858934164</x:v>
      </x:c>
      <x:c r="H6" s="409" t="n">
        <x:f>F6*1.2</x:f>
        <x:v>26181.81818181818</x:v>
      </x:c>
      <x:c r="I6" s="409" t="n">
        <x:f>B6+(E6*12)</x:f>
        <x:v>189000</x:v>
      </x:c>
      <x:c r="J6" s="409" t="n">
        <x:f>(F6*0.7*D6)-E6</x:f>
        <x:v>-3600</x:v>
      </x:c>
      <x:c r="K6" s="57" t="str">
        <x:v>Analyst scenario; blended ticket represents event seats and product orders.</x:v>
      </x:c>
    </x:row>
    <x:row r="7">
      <x:c r="A7" s="56" t="str">
        <x:v>Corporate events + gifting</x:v>
      </x:c>
      <x:c r="B7" s="407" t="n">
        <x:v>35000</x:v>
      </x:c>
      <x:c r="C7" s="407" t="n">
        <x:v>1200</x:v>
      </x:c>
      <x:c r="D7" s="408" t="n">
        <x:v>0.5</x:v>
      </x:c>
      <x:c r="E7" s="407" t="n">
        <x:v>10000</x:v>
      </x:c>
      <x:c r="F7" s="409" t="n">
        <x:f>IFERROR(E7/D7,0)</x:f>
        <x:v>20000</x:v>
      </x:c>
      <x:c r="G7" s="410" t="n">
        <x:f>IFERROR(F7/C7,0)</x:f>
        <x:v>16.666666666666668</x:v>
      </x:c>
      <x:c r="H7" s="409" t="n">
        <x:f>F7*1.2</x:f>
        <x:v>24000</x:v>
      </x:c>
      <x:c r="I7" s="409" t="n">
        <x:f>B7+(E7*12)</x:f>
        <x:v>155000</x:v>
      </x:c>
      <x:c r="J7" s="409" t="n">
        <x:f>(F7*0.7*D7)-E7</x:f>
        <x:v>-3000</x:v>
      </x:c>
      <x:c r="K7" s="57" t="str">
        <x:v>Analyst scenario; average invoice must be validated with event planners and corporate buyers.</x:v>
      </x:c>
    </x:row>
    <x:row r="8">
      <x:c r="A8" s="56" t="str">
        <x:v>Appointment tasting studio</x:v>
      </x:c>
      <x:c r="B8" s="407" t="n">
        <x:v>120000</x:v>
      </x:c>
      <x:c r="C8" s="407" t="n">
        <x:v>72</x:v>
      </x:c>
      <x:c r="D8" s="408" t="n">
        <x:v>0.65</x:v>
      </x:c>
      <x:c r="E8" s="407" t="n">
        <x:v>25000</x:v>
      </x:c>
      <x:c r="F8" s="409" t="n">
        <x:f>IFERROR(E8/D8,0)</x:f>
        <x:v>38461.53846153846</x:v>
      </x:c>
      <x:c r="G8" s="410" t="n">
        <x:f>IFERROR(F8/C8,0)</x:f>
        <x:v>534.1880341880342</x:v>
      </x:c>
      <x:c r="H8" s="409" t="n">
        <x:f>F8*1.2</x:f>
        <x:v>46153.84615384615</x:v>
      </x:c>
      <x:c r="I8" s="409" t="n">
        <x:f>B8+(E8*12)</x:f>
        <x:v>420000</x:v>
      </x:c>
      <x:c r="J8" s="409" t="n">
        <x:f>(F8*0.7*D8)-E8</x:f>
        <x:v>-7500</x:v>
      </x:c>
      <x:c r="K8" s="57" t="str">
        <x:v>Analyst scenario; assumes hybrid revenue from tastings, tea, teaware and online orders.</x:v>
      </x:c>
    </x:row>
    <x:row r="9">
      <x:c r="A9" s="56" t="str">
        <x:v>Small showroom / retail shop</x:v>
      </x:c>
      <x:c r="B9" s="407" t="n">
        <x:v>250000</x:v>
      </x:c>
      <x:c r="C9" s="407" t="n">
        <x:v>48</x:v>
      </x:c>
      <x:c r="D9" s="408" t="n">
        <x:v>0.65</x:v>
      </x:c>
      <x:c r="E9" s="407" t="n">
        <x:v>38000</x:v>
      </x:c>
      <x:c r="F9" s="409" t="n">
        <x:f>IFERROR(E9/D9,0)</x:f>
        <x:v>58461.53846153846</x:v>
      </x:c>
      <x:c r="G9" s="410" t="n">
        <x:f>IFERROR(F9/C9,0)</x:f>
        <x:v>1217.948717948718</x:v>
      </x:c>
      <x:c r="H9" s="409" t="n">
        <x:f>F9*1.2</x:f>
        <x:v>70153.84615384616</x:v>
      </x:c>
      <x:c r="I9" s="409" t="n">
        <x:f>B9+(E9*12)</x:f>
        <x:v>706000</x:v>
      </x:c>
      <x:c r="J9" s="409" t="n">
        <x:f>(F9*0.7*D9)-E9</x:f>
        <x:v>-11400</x:v>
      </x:c>
      <x:c r="K9" s="57" t="str">
        <x:v>Analyst scenario; excludes debt service and owner return; verify rent/build-out/site staffing.</x:v>
      </x:c>
    </x:row>
    <x:row r="10">
      <x:c r="A10" s="58" t="str">
        <x:v>Manager-operated tea house</x:v>
      </x:c>
      <x:c r="B10" s="411" t="n">
        <x:v>500000</x:v>
      </x:c>
      <x:c r="C10" s="411" t="n">
        <x:v>26</x:v>
      </x:c>
      <x:c r="D10" s="412" t="n">
        <x:v>0.68</x:v>
      </x:c>
      <x:c r="E10" s="411" t="n">
        <x:v>65000</x:v>
      </x:c>
      <x:c r="F10" s="413" t="n">
        <x:f>IFERROR(E10/D10,0)</x:f>
        <x:v>95588.23529411764</x:v>
      </x:c>
      <x:c r="G10" s="414" t="n">
        <x:f>IFERROR(F10/C10,0)</x:f>
        <x:v>3676.4705882352937</x:v>
      </x:c>
      <x:c r="H10" s="413" t="n">
        <x:f>F10*1.2</x:f>
        <x:v>114705.88235294116</x:v>
      </x:c>
      <x:c r="I10" s="413" t="n">
        <x:f>B10+(E10*12)</x:f>
        <x:v>1280000</x:v>
      </x:c>
      <x:c r="J10" s="413" t="n">
        <x:f>(F10*0.7*D10)-E10</x:f>
        <x:v>-19500.000000000007</x:v>
      </x:c>
      <x:c r="K10" s="59" t="str">
        <x:v>Analyst scenario; assumes paid manager and staff, not free founder labor.</x:v>
      </x:c>
    </x:row>
    <x:row r="12" ht="24" customHeight="1">
      <x:c r="A12" s="152" t="str">
        <x:v>PHYSICAL MODEL COST BUILD — MANAGER-OPERATED TEA HOUSE (ILLUSTRATIVE)</x:v>
      </x:c>
      <x:c r="B12" s="152"/>
      <x:c r="C12" s="152"/>
      <x:c r="D12" s="152"/>
      <x:c r="E12" s="152"/>
      <x:c r="F12" s="152"/>
      <x:c r="G12" s="152"/>
      <x:c r="H12" s="152"/>
      <x:c r="I12" s="152"/>
      <x:c r="J12" s="152"/>
      <x:c r="K12" s="152"/>
    </x:row>
    <x:row r="13" ht="30" customHeight="1">
      <x:c r="A13" s="385" t="str">
        <x:v>Cost Item</x:v>
      </x:c>
      <x:c r="B13" s="386" t="str">
        <x:v>Monthly Assumption ($)</x:v>
      </x:c>
      <x:c r="C13" s="387" t="str">
        <x:v>Basis / Test Required</x:v>
      </x:c>
    </x:row>
    <x:row r="14">
      <x:c r="A14" s="56" t="str">
        <x:v>Base rent + NNN/CAM</x:v>
      </x:c>
      <x:c r="B14" s="407" t="n">
        <x:v>12000</x:v>
      </x:c>
      <x:c r="C14" s="57" t="str">
        <x:v>Replace with three current site quotes; metro averages are not sufficient.</x:v>
      </x:c>
    </x:row>
    <x:row r="15">
      <x:c r="A15" s="56" t="str">
        <x:v>General manager</x:v>
      </x:c>
      <x:c r="B15" s="407" t="n">
        <x:v>8500</x:v>
      </x:c>
      <x:c r="C15" s="57" t="str">
        <x:v>Must include market salary, payroll burden and replacement coverage.</x:v>
      </x:c>
    </x:row>
    <x:row r="16">
      <x:c r="A16" s="56" t="str">
        <x:v>Front/back-of-house labor</x:v>
      </x:c>
      <x:c r="B16" s="407" t="n">
        <x:v>28000</x:v>
      </x:c>
      <x:c r="C16" s="57" t="str">
        <x:v>Model all operating hours; no free founder shifts.</x:v>
      </x:c>
    </x:row>
    <x:row r="17">
      <x:c r="A17" s="56" t="str">
        <x:v>Payroll taxes / benefits</x:v>
      </x:c>
      <x:c r="B17" s="407" t="n">
        <x:v>4500</x:v>
      </x:c>
      <x:c r="C17" s="57" t="str">
        <x:v>Verify state/local requirements.</x:v>
      </x:c>
    </x:row>
    <x:row r="18">
      <x:c r="A18" s="56" t="str">
        <x:v>Utilities / insurance / software / accounting</x:v>
      </x:c>
      <x:c r="B18" s="407" t="n">
        <x:v>6000</x:v>
      </x:c>
      <x:c r="C18" s="57" t="str">
        <x:v>Obtain actual quotes.</x:v>
      </x:c>
    </x:row>
    <x:row r="19">
      <x:c r="A19" s="56" t="str">
        <x:v>Marketing / events / cleaning / repairs / shrink</x:v>
      </x:c>
      <x:c r="B19" s="407" t="n">
        <x:v>6000</x:v>
      </x:c>
      <x:c r="C19" s="57" t="str">
        <x:v>Do not assume mature organic demand at opening.</x:v>
      </x:c>
    </x:row>
    <x:row r="20">
      <x:c r="A20" s="58" t="str">
        <x:v>Total fixed monthly cost</x:v>
      </x:c>
      <x:c r="B20" s="429" t="n">
        <x:f>SUM(B14:B19)</x:f>
        <x:v>65000</x:v>
      </x:c>
      <x:c r="C20" s="59" t="str">
        <x:v>Formula total</x:v>
      </x:c>
    </x:row>
  </x:sheetData>
  <x:mergeCells>
    <x:mergeCell ref="A1:K1"/>
    <x:mergeCell ref="A2:K2"/>
    <x:mergeCell ref="A12:K12"/>
  </x:mergeCells>
  <x:conditionalFormatting sqref="J5:J1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5" t="str">
        <x:v>Sales Sensitivity</x:v>
      </x:c>
      <x:c r="B1" s="5"/>
      <x:c r="C1" s="5"/>
      <x:c r="D1" s="5"/>
      <x:c r="E1" s="5"/>
      <x:c r="F1" s="5"/>
      <x:c r="G1" s="5"/>
    </x:row>
    <x:row r="2" ht="34" customHeight="1">
      <x:c r="A2" s="13" t="str">
        <x:v>Monthly operating profit at different revenue levels relative to each model's break-even revenue.</x:v>
      </x:c>
      <x:c r="B2" s="13"/>
      <x:c r="C2" s="13"/>
      <x:c r="D2" s="13"/>
      <x:c r="E2" s="13"/>
      <x:c r="F2" s="13"/>
      <x:c r="G2" s="13"/>
    </x:row>
    <x:row r="3" ht="30" customHeight="1">
      <x:c r="A3" s="385" t="str">
        <x:v>Revenue Change</x:v>
      </x:c>
      <x:c r="B3" s="386" t="str">
        <x:v>Content E-com</x:v>
      </x:c>
      <x:c r="C3" s="386" t="str">
        <x:v>Tastings + E-com</x:v>
      </x:c>
      <x:c r="D3" s="386" t="str">
        <x:v>Corporate/Gifting</x:v>
      </x:c>
      <x:c r="E3" s="386" t="str">
        <x:v>Appointment Studio</x:v>
      </x:c>
      <x:c r="F3" s="386" t="str">
        <x:v>Retail Shop</x:v>
      </x:c>
      <x:c r="G3" s="387" t="str">
        <x:v>Tea House</x:v>
      </x:c>
    </x:row>
    <x:row r="4">
      <x:c r="A4" s="455" t="n">
        <x:v>-0.3</x:v>
      </x:c>
      <x:c r="B4" s="456" t="n">
        <x:f>('Unit Economics'!$F$5*(1+$A4)*'Unit Economics'!$D$5)-'Unit Economics'!$E$5</x:f>
        <x:v>-2400.000000000001</x:v>
      </x:c>
      <x:c r="C4" s="456" t="n">
        <x:f>('Unit Economics'!$F$6*(1+$A4)*'Unit Economics'!$D$6)-'Unit Economics'!$E$6</x:f>
        <x:v>-3600</x:v>
      </x:c>
      <x:c r="D4" s="456" t="n">
        <x:f>('Unit Economics'!$F$7*(1+$A4)*'Unit Economics'!$D$7)-'Unit Economics'!$E$7</x:f>
        <x:v>-3000</x:v>
      </x:c>
      <x:c r="E4" s="456" t="n">
        <x:f>('Unit Economics'!$F$8*(1+$A4)*'Unit Economics'!$D$8)-'Unit Economics'!$E$8</x:f>
        <x:v>-7500</x:v>
      </x:c>
      <x:c r="F4" s="456" t="n">
        <x:f>('Unit Economics'!$F$9*(1+$A4)*'Unit Economics'!$D$9)-'Unit Economics'!$E$9</x:f>
        <x:v>-11400</x:v>
      </x:c>
      <x:c r="G4" s="457" t="n">
        <x:f>('Unit Economics'!$F$10*(1+$A4)*'Unit Economics'!$D$10)-'Unit Economics'!$E$10</x:f>
        <x:v>-19500.000000000007</x:v>
      </x:c>
    </x:row>
    <x:row r="5">
      <x:c r="A5" s="455" t="n">
        <x:v>-0.15</x:v>
      </x:c>
      <x:c r="B5" s="456" t="n">
        <x:f>('Unit Economics'!$F$5*(1+$A5)*'Unit Economics'!$D$5)-'Unit Economics'!$E$5</x:f>
        <x:v>-1200.000000000001</x:v>
      </x:c>
      <x:c r="C5" s="456" t="n">
        <x:f>('Unit Economics'!$F$6*(1+$A5)*'Unit Economics'!$D$6)-'Unit Economics'!$E$6</x:f>
        <x:v>-1800</x:v>
      </x:c>
      <x:c r="D5" s="456" t="n">
        <x:f>('Unit Economics'!$F$7*(1+$A5)*'Unit Economics'!$D$7)-'Unit Economics'!$E$7</x:f>
        <x:v>-1500</x:v>
      </x:c>
      <x:c r="E5" s="456" t="n">
        <x:f>('Unit Economics'!$F$8*(1+$A5)*'Unit Economics'!$D$8)-'Unit Economics'!$E$8</x:f>
        <x:v>-3750</x:v>
      </x:c>
      <x:c r="F5" s="456" t="n">
        <x:f>('Unit Economics'!$F$9*(1+$A5)*'Unit Economics'!$D$9)-'Unit Economics'!$E$9</x:f>
        <x:v>-5700</x:v>
      </x:c>
      <x:c r="G5" s="457" t="n">
        <x:f>('Unit Economics'!$F$10*(1+$A5)*'Unit Economics'!$D$10)-'Unit Economics'!$E$10</x:f>
        <x:v>-9750.000000000007</x:v>
      </x:c>
    </x:row>
    <x:row r="6">
      <x:c r="A6" s="455" t="n">
        <x:v>0</x:v>
      </x:c>
      <x:c r="B6" s="456" t="n">
        <x:f>('Unit Economics'!$F$5*(1+$A6)*'Unit Economics'!$D$5)-'Unit Economics'!$E$5</x:f>
        <x:v>-9.094947017729282e-13</x:v>
      </x:c>
      <x:c r="C6" s="456" t="n">
        <x:f>('Unit Economics'!$F$6*(1+$A6)*'Unit Economics'!$D$6)-'Unit Economics'!$E$6</x:f>
        <x:v>0</x:v>
      </x:c>
      <x:c r="D6" s="456" t="n">
        <x:f>('Unit Economics'!$F$7*(1+$A6)*'Unit Economics'!$D$7)-'Unit Economics'!$E$7</x:f>
        <x:v>0</x:v>
      </x:c>
      <x:c r="E6" s="456" t="n">
        <x:f>('Unit Economics'!$F$8*(1+$A6)*'Unit Economics'!$D$8)-'Unit Economics'!$E$8</x:f>
        <x:v>0</x:v>
      </x:c>
      <x:c r="F6" s="456" t="n">
        <x:f>('Unit Economics'!$F$9*(1+$A6)*'Unit Economics'!$D$9)-'Unit Economics'!$E$9</x:f>
        <x:v>0</x:v>
      </x:c>
      <x:c r="G6" s="457" t="n">
        <x:f>('Unit Economics'!$F$10*(1+$A6)*'Unit Economics'!$D$10)-'Unit Economics'!$E$10</x:f>
        <x:v>0</x:v>
      </x:c>
    </x:row>
    <x:row r="7">
      <x:c r="A7" s="455" t="n">
        <x:v>0.15</x:v>
      </x:c>
      <x:c r="B7" s="456" t="n">
        <x:f>('Unit Economics'!$F$5*(1+$A7)*'Unit Economics'!$D$5)-'Unit Economics'!$E$5</x:f>
        <x:v>1199.9999999999982</x:v>
      </x:c>
      <x:c r="C7" s="456" t="n">
        <x:f>('Unit Economics'!$F$6*(1+$A7)*'Unit Economics'!$D$6)-'Unit Economics'!$E$6</x:f>
        <x:v>1800</x:v>
      </x:c>
      <x:c r="D7" s="456" t="n">
        <x:f>('Unit Economics'!$F$7*(1+$A7)*'Unit Economics'!$D$7)-'Unit Economics'!$E$7</x:f>
        <x:v>1500</x:v>
      </x:c>
      <x:c r="E7" s="456" t="n">
        <x:f>('Unit Economics'!$F$8*(1+$A7)*'Unit Economics'!$D$8)-'Unit Economics'!$E$8</x:f>
        <x:v>3750</x:v>
      </x:c>
      <x:c r="F7" s="456" t="n">
        <x:f>('Unit Economics'!$F$9*(1+$A7)*'Unit Economics'!$D$9)-'Unit Economics'!$E$9</x:f>
        <x:v>5699.999999999993</x:v>
      </x:c>
      <x:c r="G7" s="457" t="n">
        <x:f>('Unit Economics'!$F$10*(1+$A7)*'Unit Economics'!$D$10)-'Unit Economics'!$E$10</x:f>
        <x:v>9749.999999999985</x:v>
      </x:c>
    </x:row>
    <x:row r="8">
      <x:c r="A8" s="458" t="n">
        <x:v>0.3</x:v>
      </x:c>
      <x:c r="B8" s="459" t="n">
        <x:f>('Unit Economics'!$F$5*(1+$A8)*'Unit Economics'!$D$5)-'Unit Economics'!$E$5</x:f>
        <x:v>2400</x:v>
      </x:c>
      <x:c r="C8" s="459" t="n">
        <x:f>('Unit Economics'!$F$6*(1+$A8)*'Unit Economics'!$D$6)-'Unit Economics'!$E$6</x:f>
        <x:v>3600</x:v>
      </x:c>
      <x:c r="D8" s="459" t="n">
        <x:f>('Unit Economics'!$F$7*(1+$A8)*'Unit Economics'!$D$7)-'Unit Economics'!$E$7</x:f>
        <x:v>3000</x:v>
      </x:c>
      <x:c r="E8" s="459" t="n">
        <x:f>('Unit Economics'!$F$8*(1+$A8)*'Unit Economics'!$D$8)-'Unit Economics'!$E$8</x:f>
        <x:v>7500</x:v>
      </x:c>
      <x:c r="F8" s="459" t="n">
        <x:f>('Unit Economics'!$F$9*(1+$A8)*'Unit Economics'!$D$9)-'Unit Economics'!$E$9</x:f>
        <x:v>11400</x:v>
      </x:c>
      <x:c r="G8" s="460" t="n">
        <x:f>('Unit Economics'!$F$10*(1+$A8)*'Unit Economics'!$D$10)-'Unit Economics'!$E$10</x:f>
        <x:v>19500</x:v>
      </x:c>
    </x:row>
    <x:row r="10" ht="24" customHeight="1">
      <x:c r="A10" s="152" t="str">
        <x:v>Interpretation</x:v>
      </x:c>
      <x:c r="B10" s="152"/>
      <x:c r="C10" s="152"/>
      <x:c r="D10" s="152"/>
      <x:c r="E10" s="152"/>
      <x:c r="F10" s="152"/>
      <x:c r="G10" s="152"/>
    </x:row>
    <x:row r="11" ht="50" customHeight="1">
      <x:c r="A11" s="469" t="str">
        <x:v>A store that merely reaches modeled break-even has no safety margin. The required lease gate is not 'the base case works'; it is 'the business survives a 30% sales shortfall for 12 months without emergency capital.'</x:v>
      </x:c>
      <x:c r="B11" s="469"/>
      <x:c r="C11" s="469"/>
      <x:c r="D11" s="469"/>
      <x:c r="E11" s="469"/>
      <x:c r="F11" s="469"/>
      <x:c r="G11" s="469"/>
    </x:row>
    <x:row r="12" ht="50" customHeight="1">
      <x:c r="A12" s="469"/>
      <x:c r="B12" s="469"/>
      <x:c r="C12" s="469"/>
      <x:c r="D12" s="469"/>
      <x:c r="E12" s="469"/>
      <x:c r="F12" s="469"/>
      <x:c r="G12" s="469"/>
    </x:row>
    <x:row r="13" ht="50" customHeight="1">
      <x:c r="A13" s="469"/>
      <x:c r="B13" s="469"/>
      <x:c r="C13" s="469"/>
      <x:c r="D13" s="469"/>
      <x:c r="E13" s="469"/>
      <x:c r="F13" s="469"/>
      <x:c r="G13" s="469"/>
    </x:row>
  </x:sheetData>
  <x:mergeCells>
    <x:mergeCell ref="A1:G1"/>
    <x:mergeCell ref="A2:G2"/>
    <x:mergeCell ref="A10:G10"/>
    <x:mergeCell ref="A11:G13"/>
  </x:mergeCells>
  <x:conditionalFormatting sqref="B4:G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24" hidden="0" customWidth="1"/>
    <x:col min="4" max="4" width="14" hidden="0" customWidth="1"/>
    <x:col min="5" max="5" width="30" hidden="0" customWidth="1"/>
    <x:col min="6" max="6" width="55" hidden="0" customWidth="1"/>
    <x:col min="7" max="7" width="55" hidden="0" customWidth="1"/>
  </x:cols>
  <x:sheetData>
    <x:row r="1" ht="34" customHeight="1">
      <x:c r="A1" s="5" t="str">
        <x:v>90-Day Paid Validation Plan</x:v>
      </x:c>
      <x:c r="B1" s="5"/>
      <x:c r="C1" s="5"/>
      <x:c r="D1" s="5"/>
      <x:c r="E1" s="5"/>
      <x:c r="F1" s="5"/>
      <x:c r="G1" s="5"/>
    </x:row>
    <x:row r="2" ht="34" customHeight="1">
      <x:c r="A2" s="13" t="str">
        <x:v>Illustrative total budget: $49,000</x:v>
      </x:c>
      <x:c r="B2" s="13"/>
      <x:c r="C2" s="13"/>
      <x:c r="D2" s="13"/>
      <x:c r="E2" s="13"/>
      <x:c r="F2" s="13"/>
      <x:c r="G2" s="13"/>
    </x:row>
    <x:row r="3" ht="30" customHeight="1">
      <x:c r="A3" s="385" t="str">
        <x:v>Timing</x:v>
      </x:c>
      <x:c r="B3" s="386" t="str">
        <x:v>Experiment</x:v>
      </x:c>
      <x:c r="C3" s="386" t="str">
        <x:v>Market</x:v>
      </x:c>
      <x:c r="D3" s="386" t="str">
        <x:v>Budget ($)</x:v>
      </x:c>
      <x:c r="E3" s="386" t="str">
        <x:v>Volume / Sample</x:v>
      </x:c>
      <x:c r="F3" s="386" t="str">
        <x:v>Pass Metric</x:v>
      </x:c>
      <x:c r="G3" s="387" t="str">
        <x:v>Decision Rule</x:v>
      </x:c>
    </x:row>
    <x:row r="4">
      <x:c r="A4" s="56" t="str">
        <x:v>Weeks 1–2</x:v>
      </x:c>
      <x:c r="B4" s="296" t="str">
        <x:v>Customer/positioning interviews</x:v>
      </x:c>
      <x:c r="C4" s="296" t="str">
        <x:v>LA/SGV, Seattle, Austin</x:v>
      </x:c>
      <x:c r="D4" s="407" t="n">
        <x:v>3000</x:v>
      </x:c>
      <x:c r="E4" s="296" t="str">
        <x:v>30 interviews; 10 per market</x:v>
      </x:c>
      <x:c r="F4" s="296" t="str">
        <x:v>Three segments and three value propositions defined; objections coded</x:v>
      </x:c>
      <x:c r="G4" s="57" t="str">
        <x:v>Proceed only with offers customers understand without a lecture</x:v>
      </x:c>
    </x:row>
    <x:row r="5">
      <x:c r="A5" s="56" t="str">
        <x:v>Weeks 1–2</x:v>
      </x:c>
      <x:c r="B5" s="296" t="str">
        <x:v>Supply sample set via U.S. importer</x:v>
      </x:c>
      <x:c r="C5" s="296" t="str">
        <x:v>National</x:v>
      </x:c>
      <x:c r="D5" s="407" t="n">
        <x:v>8000</x:v>
      </x:c>
      <x:c r="E5" s="296" t="str">
        <x:v>4–6 teas + 2 beginner brewing formats</x:v>
      </x:c>
      <x:c r="F5" s="296" t="str">
        <x:v>Landed unit costs, packaging, batch records and margin verified</x:v>
      </x:c>
      <x:c r="G5" s="57" t="str">
        <x:v>Do not direct-import during first test unless necessary</x:v>
      </x:c>
    </x:row>
    <x:row r="6">
      <x:c r="A6" s="56" t="str">
        <x:v>Weeks 2–4</x:v>
      </x:c>
      <x:c r="B6" s="296" t="str">
        <x:v>Three landing pages + paid traffic</x:v>
      </x:c>
      <x:c r="C6" s="296" t="str">
        <x:v>LA/SGV, Seattle, Austin</x:v>
      </x:c>
      <x:c r="D6" s="407" t="n">
        <x:v>4500</x:v>
      </x:c>
      <x:c r="E6" s="296" t="str">
        <x:v>At least 1,500 qualified visits</x:v>
      </x:c>
      <x:c r="F6" s="296" t="str">
        <x:v>&gt;=5% email signup and &gt;=2% paid sampler conversion by a winning message</x:v>
      </x:c>
      <x:c r="G6" s="57" t="str">
        <x:v>Kill or rewrite a positioning after two weak iterations</x:v>
      </x:c>
    </x:row>
    <x:row r="7">
      <x:c r="A7" s="56" t="str">
        <x:v>Weeks 2–6</x:v>
      </x:c>
      <x:c r="B7" s="296" t="str">
        <x:v>English educational content sprint</x:v>
      </x:c>
      <x:c r="C7" s="296" t="str">
        <x:v>Online</x:v>
      </x:c>
      <x:c r="D7" s="407" t="n">
        <x:v>6000</x:v>
      </x:c>
      <x:c r="E7" s="296" t="str">
        <x:v>12 short videos + 2 long videos + email sequence</x:v>
      </x:c>
      <x:c r="F7" s="296" t="str">
        <x:v>Track click-to-site, sampler conversion and qualified comments, not views alone</x:v>
      </x:c>
      <x:c r="G7" s="57" t="str">
        <x:v>Each content series must attach to a purchasable offer</x:v>
      </x:c>
    </x:row>
    <x:row r="8">
      <x:c r="A8" s="56" t="str">
        <x:v>Weeks 3–6</x:v>
      </x:c>
      <x:c r="B8" s="296" t="str">
        <x:v>$28 beginner sampler preorder</x:v>
      </x:c>
      <x:c r="C8" s="296" t="str">
        <x:v>National + three metros</x:v>
      </x:c>
      <x:c r="D8" s="407" t="n">
        <x:v>8000</x:v>
      </x:c>
      <x:c r="E8" s="296" t="str">
        <x:v>100 paid orders</x:v>
      </x:c>
      <x:c r="F8" s="296" t="str">
        <x:v>First-order contribution positive; refund/complaint rate &lt;5%</x:v>
      </x:c>
      <x:c r="G8" s="57" t="str">
        <x:v>Use customer language to refine packaging and education</x:v>
      </x:c>
    </x:row>
    <x:row r="9">
      <x:c r="A9" s="56" t="str">
        <x:v>Weeks 5–8</x:v>
      </x:c>
      <x:c r="B9" s="296" t="str">
        <x:v>Six paid tastings</x:v>
      </x:c>
      <x:c r="C9" s="296" t="str">
        <x:v>2 per test market</x:v>
      </x:c>
      <x:c r="D9" s="407" t="n">
        <x:v>9000</x:v>
      </x:c>
      <x:c r="E9" s="296" t="str">
        <x:v>18–24 seats each; $45–$60 ticket</x:v>
      </x:c>
      <x:c r="F9" s="296" t="str">
        <x:v>&gt;=70% paid fill; &gt;=50% contribution; &gt;=25% product conversion</x:v>
      </x:c>
      <x:c r="G9" s="57" t="str">
        <x:v>Repeat one winning event format; stop weak formats</x:v>
      </x:c>
    </x:row>
    <x:row r="10">
      <x:c r="A10" s="56" t="str">
        <x:v>Weeks 5–10</x:v>
      </x:c>
      <x:c r="B10" s="296" t="str">
        <x:v>B2B outreach</x:v>
      </x:c>
      <x:c r="C10" s="296" t="str">
        <x:v>Three metros</x:v>
      </x:c>
      <x:c r="D10" s="407" t="n">
        <x:v>2500</x:v>
      </x:c>
      <x:c r="E10" s="296" t="str">
        <x:v>50 qualified cafés/restaurants/spas/event buyers</x:v>
      </x:c>
      <x:c r="F10" s="296" t="str">
        <x:v>&gt;=10 serious conversations; &gt;=3 paid pilots or purchase orders</x:v>
      </x:c>
      <x:c r="G10" s="57" t="str">
        <x:v>If response is &lt;5%, rewrite offer or deprioritize B2B</x:v>
      </x:c>
    </x:row>
    <x:row r="11">
      <x:c r="A11" s="56" t="str">
        <x:v>Weeks 7–11</x:v>
      </x:c>
      <x:c r="B11" s="296" t="str">
        <x:v>Corporate/private pilots</x:v>
      </x:c>
      <x:c r="C11" s="296" t="str">
        <x:v>Best two markets</x:v>
      </x:c>
      <x:c r="D11" s="407" t="n">
        <x:v>4500</x:v>
      </x:c>
      <x:c r="E11" s="296" t="str">
        <x:v>3 paid events</x:v>
      </x:c>
      <x:c r="F11" s="296" t="str">
        <x:v>Average invoice and delivery effort support &gt;=45% contribution</x:v>
      </x:c>
      <x:c r="G11" s="57" t="str">
        <x:v>Document a repeatable package and sales cycle</x:v>
      </x:c>
    </x:row>
    <x:row r="12">
      <x:c r="A12" s="56" t="str">
        <x:v>Weeks 9–12</x:v>
      </x:c>
      <x:c r="B12" s="296" t="str">
        <x:v>Repeat purchase and subscription test</x:v>
      </x:c>
      <x:c r="C12" s="296" t="str">
        <x:v>Best-performing cohorts</x:v>
      </x:c>
      <x:c r="D12" s="407" t="n">
        <x:v>2500</x:v>
      </x:c>
      <x:c r="E12" s="296" t="str">
        <x:v>Second offer sent 21–45 days after purchase</x:v>
      </x:c>
      <x:c r="F12" s="296" t="str">
        <x:v>&gt;=25% early repeat signal; trajectory toward 35% at 90 days</x:v>
      </x:c>
      <x:c r="G12" s="57" t="str">
        <x:v>No lease if repeat remains below 20% after product fixes</x:v>
      </x:c>
    </x:row>
    <x:row r="13">
      <x:c r="A13" s="58" t="str">
        <x:v>Week 12</x:v>
      </x:c>
      <x:c r="B13" s="297" t="str">
        <x:v>Decision review</x:v>
      </x:c>
      <x:c r="C13" s="297" t="str">
        <x:v>All</x:v>
      </x:c>
      <x:c r="D13" s="411" t="n">
        <x:v>1000</x:v>
      </x:c>
      <x:c r="E13" s="297" t="str">
        <x:v>One written go / narrow / stop decision</x:v>
      </x:c>
      <x:c r="F13" s="297" t="str">
        <x:v>Choose one market and one model; publish kill criteria</x:v>
      </x:c>
      <x:c r="G13" s="59" t="str">
        <x:v>Do not choose a store merely because content gained attention</x:v>
      </x:c>
    </x:row>
    <x:row r="14">
      <x:c r="A14" s="473" t="str">
        <x:v>TOTAL ILLUSTRATIVE BUDGET</x:v>
      </x:c>
      <x:c r="B14" s="473"/>
      <x:c r="C14" s="473"/>
      <x:c r="D14" s="475" t="n">
        <x:f>SUM(D4:D13)</x:f>
        <x:v>49000</x:v>
      </x:c>
      <x:c r="E14" s="473"/>
      <x:c r="F14" s="473"/>
      <x:c r="G14" s="473"/>
    </x:row>
  </x:sheetData>
  <x:mergeCells>
    <x:mergeCell ref="A1:G1"/>
    <x:mergeCell ref="A2:G2"/>
    <x:mergeCell ref="A14:C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70" hidden="0" customWidth="1"/>
    <x:col min="4" max="4" width="16" hidden="0" customWidth="1"/>
    <x:col min="5" max="5" width="25" hidden="0" customWidth="1"/>
  </x:cols>
  <x:sheetData>
    <x:row r="1" ht="34" customHeight="1">
      <x:c r="A1" s="5" t="str">
        <x:v>Lease-Readiness Gates</x:v>
      </x:c>
      <x:c r="B1" s="5"/>
      <x:c r="C1" s="5"/>
      <x:c r="D1" s="5"/>
      <x:c r="E1" s="5"/>
    </x:row>
    <x:row r="2" ht="34" customHeight="1">
      <x:c r="A2" s="13" t="str">
        <x:v>A permanent location is prohibited by the model until all critical gates pass.</x:v>
      </x:c>
      <x:c r="B2" s="13"/>
      <x:c r="C2" s="13"/>
      <x:c r="D2" s="13"/>
      <x:c r="E2" s="13"/>
    </x:row>
    <x:row r="3" ht="30" customHeight="1">
      <x:c r="A3" s="385" t="str">
        <x:v>Metric</x:v>
      </x:c>
      <x:c r="B3" s="386" t="str">
        <x:v>Threshold</x:v>
      </x:c>
      <x:c r="C3" s="386" t="str">
        <x:v>Definition / Evidence</x:v>
      </x:c>
      <x:c r="D3" s="386" t="str">
        <x:v>Status</x:v>
      </x:c>
      <x:c r="E3" s="387" t="str">
        <x:v>Owner</x:v>
      </x:c>
    </x:row>
    <x:row r="4">
      <x:c r="A4" s="56" t="str">
        <x:v>Paid events completed</x:v>
      </x:c>
      <x:c r="B4" s="296" t="str">
        <x:v>&gt;= 10</x:v>
      </x:c>
      <x:c r="C4" s="296" t="str">
        <x:v>Across at least 2 formats; no friend-only events</x:v>
      </x:c>
      <x:c r="D4" s="481" t="str">
        <x:v>Not Tested</x:v>
      </x:c>
      <x:c r="E4" s="57" t="str">
        <x:v>Founder / local producer</x:v>
      </x:c>
    </x:row>
    <x:row r="5">
      <x:c r="A5" s="56" t="str">
        <x:v>Average paid capacity</x:v>
      </x:c>
      <x:c r="B5" s="296" t="str">
        <x:v>&gt;= 70%</x:v>
      </x:c>
      <x:c r="C5" s="296" t="str">
        <x:v>Measured across last 6 events without deep discounting</x:v>
      </x:c>
      <x:c r="D5" s="481" t="str">
        <x:v>Not Tested</x:v>
      </x:c>
      <x:c r="E5" s="57" t="str">
        <x:v>Growth lead</x:v>
      </x:c>
    </x:row>
    <x:row r="6">
      <x:c r="A6" s="56" t="str">
        <x:v>Event contribution margin</x:v>
      </x:c>
      <x:c r="B6" s="296" t="str">
        <x:v>&gt;= 50%</x:v>
      </x:c>
      <x:c r="C6" s="296" t="str">
        <x:v>After venue, labor, samples, processing and local marketing</x:v>
      </x:c>
      <x:c r="D6" s="481" t="str">
        <x:v>Not Tested</x:v>
      </x:c>
      <x:c r="E6" s="57" t="str">
        <x:v>Finance</x:v>
      </x:c>
    </x:row>
    <x:row r="7">
      <x:c r="A7" s="56" t="str">
        <x:v>Paid customers in one metro</x:v>
      </x:c>
      <x:c r="B7" s="296" t="str">
        <x:v>&gt;= 200</x:v>
      </x:c>
      <x:c r="C7" s="296" t="str">
        <x:v>Unique customers, not followers or free attendees</x:v>
      </x:c>
      <x:c r="D7" s="481" t="str">
        <x:v>Not Tested</x:v>
      </x:c>
      <x:c r="E7" s="57" t="str">
        <x:v>CRM owner</x:v>
      </x:c>
    </x:row>
    <x:row r="8">
      <x:c r="A8" s="56" t="str">
        <x:v>Qualified local audience</x:v>
      </x:c>
      <x:c r="B8" s="296" t="str">
        <x:v>&gt;= 1,000</x:v>
      </x:c>
      <x:c r="C8" s="296" t="str">
        <x:v>Email/SMS subscribers with city and declared tea interest</x:v>
      </x:c>
      <x:c r="D8" s="481" t="str">
        <x:v>Not Tested</x:v>
      </x:c>
      <x:c r="E8" s="57" t="str">
        <x:v>Growth lead</x:v>
      </x:c>
    </x:row>
    <x:row r="9">
      <x:c r="A9" s="56" t="str">
        <x:v>90-day repeat purchase</x:v>
      </x:c>
      <x:c r="B9" s="296" t="str">
        <x:v>&gt;= 35%</x:v>
      </x:c>
      <x:c r="C9" s="296" t="str">
        <x:v>Or an equivalent subscription retention profile</x:v>
      </x:c>
      <x:c r="D9" s="481" t="str">
        <x:v>Not Tested</x:v>
      </x:c>
      <x:c r="E9" s="57" t="str">
        <x:v>CRM owner</x:v>
      </x:c>
    </x:row>
    <x:row r="10">
      <x:c r="A10" s="56" t="str">
        <x:v>Blended gross margin</x:v>
      </x:c>
      <x:c r="B10" s="296" t="str">
        <x:v>&gt;= 65%</x:v>
      </x:c>
      <x:c r="C10" s="296" t="str">
        <x:v>Before fixed overhead; separately track contribution margin</x:v>
      </x:c>
      <x:c r="D10" s="481" t="str">
        <x:v>Not Tested</x:v>
      </x:c>
      <x:c r="E10" s="57" t="str">
        <x:v>Finance</x:v>
      </x:c>
    </x:row>
    <x:row r="11">
      <x:c r="A11" s="56" t="str">
        <x:v>CAC payback</x:v>
      </x:c>
      <x:c r="B11" s="296" t="str">
        <x:v>&lt;= 90 days</x:v>
      </x:c>
      <x:c r="C11" s="296" t="str">
        <x:v>Using contribution profit, not revenue</x:v>
      </x:c>
      <x:c r="D11" s="481" t="str">
        <x:v>Not Tested</x:v>
      </x:c>
      <x:c r="E11" s="57" t="str">
        <x:v>Growth / Finance</x:v>
      </x:c>
    </x:row>
    <x:row r="12">
      <x:c r="A12" s="56" t="str">
        <x:v>Local manager candidate</x:v>
      </x:c>
      <x:c r="B12" s="296" t="str">
        <x:v>1 fully vetted</x:v>
      </x:c>
      <x:c r="C12" s="296" t="str">
        <x:v>References, background, trial project and written authority limits</x:v>
      </x:c>
      <x:c r="D12" s="481" t="str">
        <x:v>Not Tested</x:v>
      </x:c>
      <x:c r="E12" s="57" t="str">
        <x:v>Founder</x:v>
      </x:c>
    </x:row>
    <x:row r="13">
      <x:c r="A13" s="56" t="str">
        <x:v>Supply/compliance readiness</x:v>
      </x:c>
      <x:c r="B13" s="296" t="str">
        <x:v>Complete</x:v>
      </x:c>
      <x:c r="C13" s="296" t="str">
        <x:v>Importer/FSVP/labeling/customs responsibilities documented</x:v>
      </x:c>
      <x:c r="D13" s="481" t="str">
        <x:v>Not Tested</x:v>
      </x:c>
      <x:c r="E13" s="57" t="str">
        <x:v>Operations</x:v>
      </x:c>
    </x:row>
    <x:row r="14">
      <x:c r="A14" s="56" t="str">
        <x:v>Cash runway</x:v>
      </x:c>
      <x:c r="B14" s="296" t="str">
        <x:v>&gt;= 12 months</x:v>
      </x:c>
      <x:c r="C14" s="296" t="str">
        <x:v>After build-out, deposits and 20% contingency</x:v>
      </x:c>
      <x:c r="D14" s="481" t="str">
        <x:v>Not Tested</x:v>
      </x:c>
      <x:c r="E14" s="57" t="str">
        <x:v>Finance</x:v>
      </x:c>
    </x:row>
    <x:row r="15">
      <x:c r="A15" s="56" t="str">
        <x:v>Downside survival</x:v>
      </x:c>
      <x:c r="B15" s="296" t="str">
        <x:v>12 months at -30% sales</x:v>
      </x:c>
      <x:c r="C15" s="296" t="str">
        <x:v>No reliance on repeated emergency founder capital</x:v>
      </x:c>
      <x:c r="D15" s="481" t="str">
        <x:v>Not Tested</x:v>
      </x:c>
      <x:c r="E15" s="57" t="str">
        <x:v>Finance</x:v>
      </x:c>
    </x:row>
    <x:row r="16">
      <x:c r="A16" s="56" t="str">
        <x:v>Non-store monthly revenue before studio</x:v>
      </x:c>
      <x:c r="B16" s="296" t="str">
        <x:v>&gt;= $20,000 for 3 months</x:v>
      </x:c>
      <x:c r="C16" s="296" t="str">
        <x:v>Shows demand exists before adding a lease</x:v>
      </x:c>
      <x:c r="D16" s="481" t="str">
        <x:v>Not Tested</x:v>
      </x:c>
      <x:c r="E16" s="57" t="str">
        <x:v>Founder / Finance</x:v>
      </x:c>
    </x:row>
    <x:row r="17">
      <x:c r="A17" s="58" t="str">
        <x:v>Non-store monthly revenue before retail</x:v>
      </x:c>
      <x:c r="B17" s="297" t="str">
        <x:v>&gt;= $35,000 for 3 months</x:v>
      </x:c>
      <x:c r="C17" s="297" t="str">
        <x:v>Stronger gate for a staffed retail location</x:v>
      </x:c>
      <x:c r="D17" s="482" t="str">
        <x:v>Not Tested</x:v>
      </x:c>
      <x:c r="E17" s="59" t="str">
        <x:v>Founder / Finance</x:v>
      </x:c>
    </x:row>
  </x:sheetData>
  <x:mergeCells>
    <x:mergeCell ref="A1:E1"/>
    <x:mergeCell ref="A2:E2"/>
  </x:mergeCells>
  <x:dataValidations count="1">
    <x:dataValidation type="list" sqref="D4:D17">
      <x:formula1>"Not Tested,Fail,Partial,Pass"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48" hidden="0" customWidth="1"/>
    <x:col min="4" max="4" width="25" hidden="0" customWidth="1"/>
    <x:col min="5" max="5" width="30" hidden="0" customWidth="1"/>
    <x:col min="6" max="6" width="65" hidden="0" customWidth="1"/>
    <x:col min="7" max="7" width="55" hidden="0" customWidth="1"/>
  </x:cols>
  <x:sheetData>
    <x:row r="1" ht="34" customHeight="1">
      <x:c r="A1" s="5" t="str">
        <x:v>Comparable-Business Database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Public evidence only; profitability and private revenue are not inferred.</x:v>
      </x:c>
      <x:c r="B2" s="13"/>
      <x:c r="C2" s="13"/>
      <x:c r="D2" s="13"/>
      <x:c r="E2" s="13"/>
      <x:c r="F2" s="13"/>
      <x:c r="G2" s="13"/>
    </x:row>
    <x:row r="3" ht="30" customHeight="1">
      <x:c r="A3" s="385" t="str">
        <x:v>Business</x:v>
      </x:c>
      <x:c r="B3" s="386" t="str">
        <x:v>Location</x:v>
      </x:c>
      <x:c r="C3" s="386" t="str">
        <x:v>Model / Revenue Mix</x:v>
      </x:c>
      <x:c r="D3" s="386" t="str">
        <x:v>Observed Status</x:v>
      </x:c>
      <x:c r="E3" s="386" t="str">
        <x:v>Observed Offer / Price</x:v>
      </x:c>
      <x:c r="F3" s="386" t="str">
        <x:v>Lesson</x:v>
      </x:c>
      <x:c r="G3" s="387" t="str">
        <x:v>Source URL</x:v>
      </x:c>
    </x:row>
    <x:row r="4">
      <x:c r="A4" s="56" t="str">
        <x:v>Steep LA</x:v>
      </x:c>
      <x:c r="B4" s="296" t="str">
        <x:v>Los Angeles, CA</x:v>
      </x:c>
      <x:c r="C4" s="296" t="str">
        <x:v>Tea house + food + evening hospitality + retail</x:v>
      </x:c>
      <x:c r="D4" s="296" t="str">
        <x:v>Active</x:v>
      </x:c>
      <x:c r="E4" s="296" t="str">
        <x:v>$35/$45 tea ceremony sets</x:v>
      </x:c>
      <x:c r="F4" s="296" t="str">
        <x:v>Hybrid dayparts increase revenue opportunities; food/alcohol add complexity.</x:v>
      </x:c>
      <x:c r="G4" s="267" t="str">
        <x:v>https://steepla.com/</x:v>
      </x:c>
    </x:row>
    <x:row r="5">
      <x:c r="A5" s="56" t="str">
        <x:v>Tea Habitat</x:v>
      </x:c>
      <x:c r="B5" s="296" t="str">
        <x:v>Alhambra, CA</x:v>
      </x:c>
      <x:c r="C5" s="296" t="str">
        <x:v>Appointment tastings + premium tea + e-commerce</x:v>
      </x:c>
      <x:c r="D5" s="296" t="str">
        <x:v>Active</x:v>
      </x:c>
      <x:c r="E5" s="296" t="str">
        <x:v>$50 regular; higher premium tiers</x:v>
      </x:c>
      <x:c r="F5" s="296" t="str">
        <x:v>Authority and scarcity can support high price, but throughput is limited.</x:v>
      </x:c>
      <x:c r="G5" s="267" t="str">
        <x:v>https://teahabitat.com/collections/tea-tasting</x:v>
      </x:c>
    </x:row>
    <x:row r="6">
      <x:c r="A6" s="56" t="str">
        <x:v>Tea at Shiloh</x:v>
      </x:c>
      <x:c r="B6" s="296" t="str">
        <x:v>Los Angeles, CA</x:v>
      </x:c>
      <x:c r="C6" s="296" t="str">
        <x:v>Reservation-led communal / late-night tea experience</x:v>
      </x:c>
      <x:c r="D6" s="296" t="str">
        <x:v>Active</x:v>
      </x:c>
      <x:c r="E6" s="296" t="str">
        <x:v>Reservation model</x:v>
      </x:c>
      <x:c r="F6" s="296" t="str">
        <x:v>Customers may buy atmosphere, community and screen-free time as much as tea.</x:v>
      </x:c>
      <x:c r="G6" s="267" t="str">
        <x:v>https://teaatshiloh.com/</x:v>
      </x:c>
    </x:row>
    <x:row r="7">
      <x:c r="A7" s="56" t="str">
        <x:v>Callisto Tea House</x:v>
      </x:c>
      <x:c r="B7" s="296" t="str">
        <x:v>Pasadena, CA</x:v>
      </x:c>
      <x:c r="C7" s="296" t="str">
        <x:v>Tea house + retail + tastings/events</x:v>
      </x:c>
      <x:c r="D7" s="296" t="str">
        <x:v>Active</x:v>
      </x:c>
      <x:c r="E7" s="296" t="str">
        <x:v>$35 private tasting</x:v>
      </x:c>
      <x:c r="F7" s="296" t="str">
        <x:v>Accessible guided tasting can bridge beginner education and retail sales.</x:v>
      </x:c>
      <x:c r="G7" s="267" t="str">
        <x:v>https://callistoteahouse.com/pages/tea-tastings</x:v>
      </x:c>
    </x:row>
    <x:row r="8">
      <x:c r="A8" s="56" t="str">
        <x:v>Denong Tea</x:v>
      </x:c>
      <x:c r="B8" s="296" t="str">
        <x:v>Pasadena / U.S.</x:v>
      </x:c>
      <x:c r="C8" s="296" t="str">
        <x:v>Premium pu-erh brand showroom + e-commerce</x:v>
      </x:c>
      <x:c r="D8" s="296" t="str">
        <x:v>Retail ended 2024; online status constrained</x:v>
      </x:c>
      <x:c r="E8" s="296" t="str">
        <x:v>Not used</x:v>
      </x:c>
      <x:c r="F8" s="296" t="str">
        <x:v>A beautiful showroom does not by itself solve repeat demand and overhead.</x:v>
      </x:c>
      <x:c r="G8" s="267" t="str">
        <x:v>https://www.denongtea.com/</x:v>
      </x:c>
    </x:row>
    <x:row r="9">
      <x:c r="A9" s="56" t="str">
        <x:v>Song Tea &amp; Ceramics</x:v>
      </x:c>
      <x:c r="B9" s="296" t="str">
        <x:v>San Francisco, CA</x:v>
      </x:c>
      <x:c r="C9" s="296" t="str">
        <x:v>Premium tea/ceramics retail + e-commerce + events</x:v>
      </x:c>
      <x:c r="D9" s="296" t="str">
        <x:v>Active</x:v>
      </x:c>
      <x:c r="E9" s="296" t="str">
        <x:v>Premium product-led</x:v>
      </x:c>
      <x:c r="F9" s="296" t="str">
        <x:v>High curation and design can support premium pricing without full foodservice.</x:v>
      </x:c>
      <x:c r="G9" s="267" t="str">
        <x:v>https://songtea.com/</x:v>
      </x:c>
    </x:row>
    <x:row r="10">
      <x:c r="A10" s="56" t="str">
        <x:v>Red Blossom Tea</x:v>
      </x:c>
      <x:c r="B10" s="296" t="str">
        <x:v>San Francisco, CA</x:v>
      </x:c>
      <x:c r="C10" s="296" t="str">
        <x:v>Chinese tea retail + education + e-commerce</x:v>
      </x:c>
      <x:c r="D10" s="296" t="str">
        <x:v>Active</x:v>
      </x:c>
      <x:c r="E10" s="296" t="str">
        <x:v>Product-led</x:v>
      </x:c>
      <x:c r="F10" s="296" t="str">
        <x:v>Deep expertise can create durable niche loyalty; scale may remain specialist.</x:v>
      </x:c>
      <x:c r="G10" s="267" t="str">
        <x:v>https://redblossomtea.com/</x:v>
      </x:c>
    </x:row>
    <x:row r="11">
      <x:c r="A11" s="56" t="str">
        <x:v>Imperial Tea Court</x:v>
      </x:c>
      <x:c r="B11" s="296" t="str">
        <x:v>San Francisco, CA</x:v>
      </x:c>
      <x:c r="C11" s="296" t="str">
        <x:v>Traditional tea house + food + retail + e-commerce</x:v>
      </x:c>
      <x:c r="D11" s="296" t="str">
        <x:v>Active; Berkeley location closed</x:v>
      </x:c>
      <x:c r="E11" s="296" t="str">
        <x:v>Menu + retail</x:v>
      </x:c>
      <x:c r="F11" s="296" t="str">
        <x:v>Multi-revenue model is more resilient than tea service alone.</x:v>
      </x:c>
      <x:c r="G11" s="267" t="str">
        <x:v>https://www.imperialtea.com/</x:v>
      </x:c>
    </x:row>
    <x:row r="12">
      <x:c r="A12" s="56" t="str">
        <x:v>T Shop</x:v>
      </x:c>
      <x:c r="B12" s="296" t="str">
        <x:v>New York, NY</x:v>
      </x:c>
      <x:c r="C12" s="296" t="str">
        <x:v>Tasting room + events + fine tea/teaware e-commerce</x:v>
      </x:c>
      <x:c r="D12" s="296" t="str">
        <x:v>Active</x:v>
      </x:c>
      <x:c r="E12" s="296" t="str">
        <x:v>Reservation tasting/service</x:v>
      </x:c>
      <x:c r="F12" s="296" t="str">
        <x:v>Community and expert guidance can make high-end tea legible to beginners.</x:v>
      </x:c>
      <x:c r="G12" s="267" t="str">
        <x:v>https://www.tshopny.com/</x:v>
      </x:c>
    </x:row>
    <x:row r="13">
      <x:c r="A13" s="56" t="str">
        <x:v>Fang Gourmet Tea</x:v>
      </x:c>
      <x:c r="B13" s="296" t="str">
        <x:v>Flushing, NY</x:v>
      </x:c>
      <x:c r="C13" s="296" t="str">
        <x:v>Tasting room + retail + e-commerce</x:v>
      </x:c>
      <x:c r="D13" s="296" t="str">
        <x:v>Active</x:v>
      </x:c>
      <x:c r="E13" s="296" t="str">
        <x:v>Approx. $20 tasting benchmark</x:v>
      </x:c>
      <x:c r="F13" s="296" t="str">
        <x:v>Diaspora location can anchor credibility while serving broader enthusiasts.</x:v>
      </x:c>
      <x:c r="G13" s="267" t="str">
        <x:v>https://fangtea.com/</x:v>
      </x:c>
    </x:row>
    <x:row r="14">
      <x:c r="A14" s="56" t="str">
        <x:v>Té Company</x:v>
      </x:c>
      <x:c r="B14" s="296" t="str">
        <x:v>New York, NY</x:v>
      </x:c>
      <x:c r="C14" s="296" t="str">
        <x:v>Taiwanese tea + food + gifting + e-commerce</x:v>
      </x:c>
      <x:c r="D14" s="296" t="str">
        <x:v>Active</x:v>
      </x:c>
      <x:c r="E14" s="296" t="str">
        <x:v>Food/tea/gifts</x:v>
      </x:c>
      <x:c r="F14" s="296" t="str">
        <x:v>A focused origin story can expand through pastry, gifting and online sales.</x:v>
      </x:c>
      <x:c r="G14" s="267" t="str">
        <x:v>https://tecompanytea.com/</x:v>
      </x:c>
    </x:row>
    <x:row r="15">
      <x:c r="A15" s="56" t="str">
        <x:v>Floating Mountain</x:v>
      </x:c>
      <x:c r="B15" s="296" t="str">
        <x:v>New York, NY</x:v>
      </x:c>
      <x:c r="C15" s="296" t="str">
        <x:v>Tea room + education/events + retail</x:v>
      </x:c>
      <x:c r="D15" s="296" t="str">
        <x:v>Active</x:v>
      </x:c>
      <x:c r="E15" s="296" t="str">
        <x:v>Experience-led</x:v>
      </x:c>
      <x:c r="F15" s="296" t="str">
        <x:v>Quiet experiential positioning competes with wellness and culture spending.</x:v>
      </x:c>
      <x:c r="G15" s="267" t="str">
        <x:v>https://floating-mountain.com/</x:v>
      </x:c>
    </x:row>
    <x:row r="16">
      <x:c r="A16" s="56" t="str">
        <x:v>West China Tea</x:v>
      </x:c>
      <x:c r="B16" s="296" t="str">
        <x:v>Austin, TX</x:v>
      </x:c>
      <x:c r="C16" s="296" t="str">
        <x:v>Community tea house + classes + subscriptions + memberships + e-commerce</x:v>
      </x:c>
      <x:c r="D16" s="296" t="str">
        <x:v>Active</x:v>
      </x:c>
      <x:c r="E16" s="296" t="str">
        <x:v>$30 subscription; $130 monthly membership</x:v>
      </x:c>
      <x:c r="F16" s="296" t="str">
        <x:v>Recurring community revenue is a stronger moat than walk-in beverage sales alone.</x:v>
      </x:c>
      <x:c r="G16" s="267" t="str">
        <x:v>https://westchinatea.com/</x:v>
      </x:c>
    </x:row>
    <x:row r="17">
      <x:c r="A17" s="56" t="str">
        <x:v>Seven Cups</x:v>
      </x:c>
      <x:c r="B17" s="296" t="str">
        <x:v>Tucson, AZ</x:v>
      </x:c>
      <x:c r="C17" s="296" t="str">
        <x:v>Tea house + retail + education + e-commerce</x:v>
      </x:c>
      <x:c r="D17" s="296" t="str">
        <x:v>Active</x:v>
      </x:c>
      <x:c r="E17" s="296" t="str">
        <x:v>Education-led</x:v>
      </x:c>
      <x:c r="F17" s="296" t="str">
        <x:v>A lower-cost city can sustain specialist tea when expertise and community are strong.</x:v>
      </x:c>
      <x:c r="G17" s="267" t="str">
        <x:v>https://sevencups.com/</x:v>
      </x:c>
    </x:row>
    <x:row r="18">
      <x:c r="A18" s="56" t="str">
        <x:v>Living Water Tea House</x:v>
      </x:c>
      <x:c r="B18" s="296" t="str">
        <x:v>Chicago, IL</x:v>
      </x:c>
      <x:c r="C18" s="296" t="str">
        <x:v>Tea house + guided tasting + e-commerce</x:v>
      </x:c>
      <x:c r="D18" s="296" t="str">
        <x:v>Active</x:v>
      </x:c>
      <x:c r="E18" s="296" t="str">
        <x:v>Approx. $35 tasting</x:v>
      </x:c>
      <x:c r="F18" s="296" t="str">
        <x:v>Paid education is viable outside coastal hubs.</x:v>
      </x:c>
      <x:c r="G18" s="267" t="str">
        <x:v>https://livingwaterteahouse.com/</x:v>
      </x:c>
    </x:row>
    <x:row r="19">
      <x:c r="A19" s="56" t="str">
        <x:v>Spirit Tea</x:v>
      </x:c>
      <x:c r="B19" s="296" t="str">
        <x:v>Chicago, IL</x:v>
      </x:c>
      <x:c r="C19" s="296" t="str">
        <x:v>Wholesale + e-commerce + hospitality collaborations</x:v>
      </x:c>
      <x:c r="D19" s="296" t="str">
        <x:v>Active</x:v>
      </x:c>
      <x:c r="E19" s="296" t="str">
        <x:v>Wholesale-led</x:v>
      </x:c>
      <x:c r="F19" s="296" t="str">
        <x:v>B2B can scale without paying for a large consumer storefront.</x:v>
      </x:c>
      <x:c r="G19" s="267" t="str">
        <x:v>https://spirittea.co/</x:v>
      </x:c>
    </x:row>
    <x:row r="20">
      <x:c r="A20" s="56" t="str">
        <x:v>Chicago Teahouse</x:v>
      </x:c>
      <x:c r="B20" s="296" t="str">
        <x:v>Chicago, IL</x:v>
      </x:c>
      <x:c r="C20" s="296" t="str">
        <x:v>Tea house + retail + events</x:v>
      </x:c>
      <x:c r="D20" s="296" t="str">
        <x:v>Active</x:v>
      </x:c>
      <x:c r="E20" s="296" t="str">
        <x:v>Experience-led</x:v>
      </x:c>
      <x:c r="F20" s="296" t="str">
        <x:v>Large diverse metros can support multiple tea formats and cultural traditions.</x:v>
      </x:c>
      <x:c r="G20" s="267" t="str">
        <x:v>https://chicagoteahouse.com/</x:v>
      </x:c>
    </x:row>
    <x:row r="21">
      <x:c r="A21" s="56" t="str">
        <x:v>Floating Leaves</x:v>
      </x:c>
      <x:c r="B21" s="296" t="str">
        <x:v>Seattle, WA</x:v>
      </x:c>
      <x:c r="C21" s="296" t="str">
        <x:v>Chinese/Taiwanese tea retail + e-commerce + education</x:v>
      </x:c>
      <x:c r="D21" s="296" t="str">
        <x:v>Active</x:v>
      </x:c>
      <x:c r="E21" s="296" t="str">
        <x:v>Classes/content</x:v>
      </x:c>
      <x:c r="F21" s="296" t="str">
        <x:v>Founder authority and educational media can serve both local and national customers.</x:v>
      </x:c>
      <x:c r="G21" s="267" t="str">
        <x:v>https://floatingleaves.com/</x:v>
      </x:c>
    </x:row>
    <x:row r="22">
      <x:c r="A22" s="56" t="str">
        <x:v>New Century Tea Gallery</x:v>
      </x:c>
      <x:c r="B22" s="296" t="str">
        <x:v>Seattle, WA</x:v>
      </x:c>
      <x:c r="C22" s="296" t="str">
        <x:v>Retail + tasting + e-commerce</x:v>
      </x:c>
      <x:c r="D22" s="296" t="str">
        <x:v>Active</x:v>
      </x:c>
      <x:c r="E22" s="296" t="str">
        <x:v>Free tasting / product-led</x:v>
      </x:c>
      <x:c r="F22" s="296" t="str">
        <x:v>Low-friction tasting can drive product conversion, but must be measured.</x:v>
      </x:c>
      <x:c r="G22" s="267" t="str">
        <x:v>https://newcenturyteagallery.com/</x:v>
      </x:c>
    </x:row>
    <x:row r="23">
      <x:c r="A23" s="56" t="str">
        <x:v>Miro Tea</x:v>
      </x:c>
      <x:c r="B23" s="296" t="str">
        <x:v>Seattle, WA</x:v>
      </x:c>
      <x:c r="C23" s="296" t="str">
        <x:v>Tea café + food + broad tea menu</x:v>
      </x:c>
      <x:c r="D23" s="296" t="str">
        <x:v>Active</x:v>
      </x:c>
      <x:c r="E23" s="296" t="str">
        <x:v>Cafe model</x:v>
      </x:c>
      <x:c r="F23" s="296" t="str">
        <x:v>Broad menu and food can increase frequency but dilute specialist positioning.</x:v>
      </x:c>
      <x:c r="G23" s="267" t="str">
        <x:v>https://mirotea.com/</x:v>
      </x:c>
    </x:row>
    <x:row r="24">
      <x:c r="A24" s="56" t="str">
        <x:v>Friday Afternoon Tea</x:v>
      </x:c>
      <x:c r="B24" s="296" t="str">
        <x:v>Seattle, WA</x:v>
      </x:c>
      <x:c r="C24" s="296" t="str">
        <x:v>Retail + events + online community</x:v>
      </x:c>
      <x:c r="D24" s="296" t="str">
        <x:v>Active</x:v>
      </x:c>
      <x:c r="E24" s="296" t="str">
        <x:v>Community/product-led</x:v>
      </x:c>
      <x:c r="F24" s="296" t="str">
        <x:v>Distinctive personality and fandom niches can expand the addressable audience.</x:v>
      </x:c>
      <x:c r="G24" s="267" t="str">
        <x:v>https://fridaytea.com/</x:v>
      </x:c>
    </x:row>
    <x:row r="25">
      <x:c r="A25" s="56" t="str">
        <x:v>Smith Teamaker</x:v>
      </x:c>
      <x:c r="B25" s="296" t="str">
        <x:v>Portland, OR</x:v>
      </x:c>
      <x:c r="C25" s="296" t="str">
        <x:v>Tasting room + e-commerce + wholesale + packaged products</x:v>
      </x:c>
      <x:c r="D25" s="296" t="str">
        <x:v>Active</x:v>
      </x:c>
      <x:c r="E25" s="296" t="str">
        <x:v>Multi-channel</x:v>
      </x:c>
      <x:c r="F25" s="296" t="str">
        <x:v>Wholesale and packaged retail create scale beyond seats.</x:v>
      </x:c>
      <x:c r="G25" s="267" t="str">
        <x:v>https://www.smithtea.com/</x:v>
      </x:c>
    </x:row>
    <x:row r="26">
      <x:c r="A26" s="56" t="str">
        <x:v>The Tao of Tea</x:v>
      </x:c>
      <x:c r="B26" s="296" t="str">
        <x:v>Portland, OR</x:v>
      </x:c>
      <x:c r="C26" s="296" t="str">
        <x:v>Tea house + retail + e-commerce + wholesale</x:v>
      </x:c>
      <x:c r="D26" s="296" t="str">
        <x:v>Active; one historic location ended 2023</x:v>
      </x:c>
      <x:c r="E26" s="296" t="str">
        <x:v>Multi-channel</x:v>
      </x:c>
      <x:c r="F26" s="296" t="str">
        <x:v>Long-lived operators still evolve locations and channels.</x:v>
      </x:c>
      <x:c r="G26" s="267" t="str">
        <x:v>https://taooftea.com/</x:v>
      </x:c>
    </x:row>
    <x:row r="27">
      <x:c r="A27" s="56" t="str">
        <x:v>MEM Tea</x:v>
      </x:c>
      <x:c r="B27" s="296" t="str">
        <x:v>Boston, MA</x:v>
      </x:c>
      <x:c r="C27" s="296" t="str">
        <x:v>Wholesale + retail + e-commerce + education</x:v>
      </x:c>
      <x:c r="D27" s="296" t="str">
        <x:v>Active</x:v>
      </x:c>
      <x:c r="E27" s="296" t="str">
        <x:v>Wholesale/product-led</x:v>
      </x:c>
      <x:c r="F27" s="296" t="str">
        <x:v>Strong B2B sampling and curation can build a defensible regional business.</x:v>
      </x:c>
      <x:c r="G27" s="267" t="str">
        <x:v>https://www.memteaimports.com/</x:v>
      </x:c>
    </x:row>
    <x:row r="28">
      <x:c r="A28" s="56" t="str">
        <x:v>Valley Brook Tea</x:v>
      </x:c>
      <x:c r="B28" s="296" t="str">
        <x:v>Washington, DC</x:v>
      </x:c>
      <x:c r="C28" s="296" t="str">
        <x:v>Chinese tea house + retail + e-commerce</x:v>
      </x:c>
      <x:c r="D28" s="296" t="str">
        <x:v>Active</x:v>
      </x:c>
      <x:c r="E28" s="296" t="str">
        <x:v>Origin-led</x:v>
      </x:c>
      <x:c r="F28" s="296" t="str">
        <x:v>Dense affluent markets can support an authentic origin-specific proposition.</x:v>
      </x:c>
      <x:c r="G28" s="267" t="str">
        <x:v>https://valleybrooktea.com/</x:v>
      </x:c>
    </x:row>
    <x:row r="29">
      <x:c r="A29" s="56" t="str">
        <x:v>Tea Grotto</x:v>
      </x:c>
      <x:c r="B29" s="296" t="str">
        <x:v>Salt Lake City, UT</x:v>
      </x:c>
      <x:c r="C29" s="296" t="str">
        <x:v>Tea house + retail + events</x:v>
      </x:c>
      <x:c r="D29" s="296" t="str">
        <x:v>Active</x:v>
      </x:c>
      <x:c r="E29" s="296" t="str">
        <x:v>Local community model</x:v>
      </x:c>
      <x:c r="F29" s="296" t="str">
        <x:v>Utah has real tea demand, but direct proof and scale are thinner than top markets.</x:v>
      </x:c>
      <x:c r="G29" s="267" t="str">
        <x:v>https://www.teagrotto.com/</x:v>
      </x:c>
    </x:row>
    <x:row r="30">
      <x:c r="A30" s="56" t="str">
        <x:v>Tea Zaanti</x:v>
      </x:c>
      <x:c r="B30" s="296" t="str">
        <x:v>Salt Lake City, UT</x:v>
      </x:c>
      <x:c r="C30" s="296" t="str">
        <x:v>Tea + wine + food + retail/events</x:v>
      </x:c>
      <x:c r="D30" s="296" t="str">
        <x:v>Active</x:v>
      </x:c>
      <x:c r="E30" s="296" t="str">
        <x:v>Hybrid hospitality</x:v>
      </x:c>
      <x:c r="F30" s="296" t="str">
        <x:v>Adding wine and food broadens occasions, but changes staffing/licensing complexity.</x:v>
      </x:c>
      <x:c r="G30" s="267" t="str">
        <x:v>https://teazaanti.com/</x:v>
      </x:c>
    </x:row>
    <x:row r="31">
      <x:c r="A31" s="56" t="str">
        <x:v>Ku Cha House of Tea</x:v>
      </x:c>
      <x:c r="B31" s="296" t="str">
        <x:v>Boulder / Denver, CO</x:v>
      </x:c>
      <x:c r="C31" s="296" t="str">
        <x:v>Multi-location retail + tea bar + e-commerce</x:v>
      </x:c>
      <x:c r="D31" s="296" t="str">
        <x:v>Active</x:v>
      </x:c>
      <x:c r="E31" s="296" t="str">
        <x:v>Five-location model reported</x:v>
      </x:c>
      <x:c r="F31" s="296" t="str">
        <x:v>Replicable retail is possible when assortment, education and local density align.</x:v>
      </x:c>
      <x:c r="G31" s="267" t="str">
        <x:v>https://www.kuchatea.com/</x:v>
      </x:c>
    </x:row>
    <x:row r="32">
      <x:c r="A32" s="56" t="str">
        <x:v>Tea &amp; Whisk</x:v>
      </x:c>
      <x:c r="B32" s="296" t="str">
        <x:v>Las Vegas, NV</x:v>
      </x:c>
      <x:c r="C32" s="296" t="str">
        <x:v>Retail + private tastings + e-commerce</x:v>
      </x:c>
      <x:c r="D32" s="296" t="str">
        <x:v>Active</x:v>
      </x:c>
      <x:c r="E32" s="296" t="str">
        <x:v>Approx. $90 private tasting</x:v>
      </x:c>
      <x:c r="F32" s="296" t="str">
        <x:v>Tourism and private experiences can support high tickets without a full tea house.</x:v>
      </x:c>
      <x:c r="G32" s="267" t="str">
        <x:v>https://teaandwhisk.com/</x:v>
      </x:c>
    </x:row>
    <x:row r="33">
      <x:c r="A33" s="58" t="str">
        <x:v>T2 Tea</x:v>
      </x:c>
      <x:c r="B33" s="297" t="str">
        <x:v>Former U.S. footprint</x:v>
      </x:c>
      <x:c r="C33" s="297" t="str">
        <x:v>Branded specialty retail + e-commerce</x:v>
      </x:c>
      <x:c r="D33" s="297" t="str">
        <x:v>U.S. stores closed 2023; later online availability</x:v>
      </x:c>
      <x:c r="E33" s="297" t="str">
        <x:v>Not used</x:v>
      </x:c>
      <x:c r="F33" s="297" t="str">
        <x:v>Brand scale and attractive stores do not remove lease and geography risk.</x:v>
      </x:c>
      <x:c r="G33" s="271" t="str">
        <x:v>https://www.t2tea.com/en-us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11" hidden="0" customWidth="1"/>
    <x:col min="4" max="4" width="10" hidden="0" customWidth="1"/>
    <x:col min="5" max="5" width="45" hidden="0" customWidth="1"/>
    <x:col min="6" max="6" width="52" hidden="0" customWidth="1"/>
    <x:col min="7" max="7" width="58" hidden="0" customWidth="1"/>
    <x:col min="8" max="8" width="20" hidden="0" customWidth="1"/>
  </x:cols>
  <x:sheetData>
    <x:row r="1" ht="34" customHeight="1">
      <x:c r="A1" s="5" t="str">
        <x:v>Risk Register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Probability and impact use a 1–5 scale. Score is formula-driven.</x:v>
      </x:c>
      <x:c r="B2" s="13"/>
      <x:c r="C2" s="13"/>
      <x:c r="D2" s="13"/>
      <x:c r="E2" s="13"/>
      <x:c r="F2" s="13"/>
      <x:c r="G2" s="13"/>
      <x:c r="H2" s="13"/>
    </x:row>
    <x:row r="3" ht="30" customHeight="1">
      <x:c r="A3" s="385" t="str">
        <x:v>Risk</x:v>
      </x:c>
      <x:c r="B3" s="386" t="str">
        <x:v>Probability</x:v>
      </x:c>
      <x:c r="C3" s="386" t="str">
        <x:v>Impact</x:v>
      </x:c>
      <x:c r="D3" s="386" t="str">
        <x:v>Score</x:v>
      </x:c>
      <x:c r="E3" s="386" t="str">
        <x:v>Early Warning</x:v>
      </x:c>
      <x:c r="F3" s="386" t="str">
        <x:v>Mitigation</x:v>
      </x:c>
      <x:c r="G3" s="386" t="str">
        <x:v>Kill / Decision Implication</x:v>
      </x:c>
      <x:c r="H3" s="387" t="str">
        <x:v>Owner</x:v>
      </x:c>
    </x:row>
    <x:row r="4">
      <x:c r="A4" s="56" t="str">
        <x:v>Tea is treated as novelty, not routine</x:v>
      </x:c>
      <x:c r="B4" s="352" t="n">
        <x:v>4</x:v>
      </x:c>
      <x:c r="C4" s="352" t="n">
        <x:v>5</x:v>
      </x:c>
      <x:c r="D4" s="495" t="n">
        <x:f>B4*C4</x:f>
        <x:v>20</x:v>
      </x:c>
      <x:c r="E4" s="296" t="str">
        <x:v>High event enthusiasm but low reorder</x:v>
      </x:c>
      <x:c r="F4" s="296" t="str">
        <x:v>Design an everyday product and 21–45 day replenishment sequence</x:v>
      </x:c>
      <x:c r="G4" s="296" t="str">
        <x:v>No lease if 90-day repeat remains &lt;20% after two product iterations</x:v>
      </x:c>
      <x:c r="H4" s="57" t="str">
        <x:v>Founder / Product</x:v>
      </x:c>
    </x:row>
    <x:row r="5">
      <x:c r="A5" s="56" t="str">
        <x:v>Education creates friction</x:v>
      </x:c>
      <x:c r="B5" s="352" t="n">
        <x:v>4</x:v>
      </x:c>
      <x:c r="C5" s="352" t="n">
        <x:v>4</x:v>
      </x:c>
      <x:c r="D5" s="495" t="n">
        <x:f>B5*C5</x:f>
        <x:v>16</x:v>
      </x:c>
      <x:c r="E5" s="296" t="str">
        <x:v>Visitors ask what to choose, then leave</x:v>
      </x:c>
      <x:c r="F5" s="296" t="str">
        <x:v>Use beginner flights, plain-language flavor cues and guided defaults</x:v>
      </x:c>
      <x:c r="G5" s="296" t="str">
        <x:v>Drop overly ceremonial positioning if conversion trails accessible offers</x:v>
      </x:c>
      <x:c r="H5" s="57" t="str">
        <x:v>Brand</x:v>
      </x:c>
    </x:row>
    <x:row r="6">
      <x:c r="A6" s="56" t="str">
        <x:v>Founder dependence</x:v>
      </x:c>
      <x:c r="B6" s="352" t="n">
        <x:v>4</x:v>
      </x:c>
      <x:c r="C6" s="352" t="n">
        <x:v>5</x:v>
      </x:c>
      <x:c r="D6" s="495" t="n">
        <x:f>B6*C6</x:f>
        <x:v>20</x:v>
      </x:c>
      <x:c r="E6" s="296" t="str">
        <x:v>Sales collapse when founder is absent</x:v>
      </x:c>
      <x:c r="F6" s="296" t="str">
        <x:v>Train hosts, script experiences, document sourcing and customer service</x:v>
      </x:c>
      <x:c r="G6" s="296" t="str">
        <x:v>Reject physical model if manager-led pilots underperform founder-led pilots by &gt;30%</x:v>
      </x:c>
      <x:c r="H6" s="57" t="str">
        <x:v>Operations</x:v>
      </x:c>
    </x:row>
    <x:row r="7">
      <x:c r="A7" s="56" t="str">
        <x:v>Remote manager fraud or weak controls</x:v>
      </x:c>
      <x:c r="B7" s="352" t="n">
        <x:v>3</x:v>
      </x:c>
      <x:c r="C7" s="352" t="n">
        <x:v>5</x:v>
      </x:c>
      <x:c r="D7" s="495" t="n">
        <x:f>B7*C7</x:f>
        <x:v>15</x:v>
      </x:c>
      <x:c r="E7" s="296" t="str">
        <x:v>Inventory variance, cash adjustments, unexplained vendor changes</x:v>
      </x:c>
      <x:c r="F7" s="296" t="str">
        <x:v>POS access, daily close, bank alerts, approval limits, independent bookkeeping</x:v>
      </x:c>
      <x:c r="G7" s="296" t="str">
        <x:v>No equity or broad signing power before a controlled trial</x:v>
      </x:c>
      <x:c r="H7" s="57" t="str">
        <x:v>Finance / Legal</x:v>
      </x:c>
    </x:row>
    <x:row r="8">
      <x:c r="A8" s="56" t="str">
        <x:v>Rent and labor overwhelm demand</x:v>
      </x:c>
      <x:c r="B8" s="352" t="n">
        <x:v>4</x:v>
      </x:c>
      <x:c r="C8" s="352" t="n">
        <x:v>5</x:v>
      </x:c>
      <x:c r="D8" s="495" t="n">
        <x:f>B8*C8</x:f>
        <x:v>20</x:v>
      </x:c>
      <x:c r="E8" s="296" t="str">
        <x:v>Occupancy + payroll exceed model before debt service</x:v>
      </x:c>
      <x:c r="F8" s="296" t="str">
        <x:v>Start with events; negotiate flexible term; model paid manager from day one</x:v>
      </x:c>
      <x:c r="G8" s="296" t="str">
        <x:v>No lease unless -30% sales case survives 12 months</x:v>
      </x:c>
      <x:c r="H8" s="57" t="str">
        <x:v>Finance</x:v>
      </x:c>
    </x:row>
    <x:row r="9">
      <x:c r="A9" s="56" t="str">
        <x:v>Direct import compliance failure</x:v>
      </x:c>
      <x:c r="B9" s="352" t="n">
        <x:v>2</x:v>
      </x:c>
      <x:c r="C9" s="352" t="n">
        <x:v>5</x:v>
      </x:c>
      <x:c r="D9" s="495" t="n">
        <x:f>B9*C9</x:f>
        <x:v>10</x:v>
      </x:c>
      <x:c r="E9" s="296" t="str">
        <x:v>Missing FSVP/records, delayed or held shipments</x:v>
      </x:c>
      <x:c r="F9" s="296" t="str">
        <x:v>Start with U.S. importer; use broker/compliance consultant before direct import</x:v>
      </x:c>
      <x:c r="G9" s="296" t="str">
        <x:v>Suspend direct import until responsibility and records are confirmed</x:v>
      </x:c>
      <x:c r="H9" s="57" t="str">
        <x:v>Operations</x:v>
      </x:c>
    </x:row>
    <x:row r="10">
      <x:c r="A10" s="56" t="str">
        <x:v>Pesticide/quality inconsistency</x:v>
      </x:c>
      <x:c r="B10" s="352" t="n">
        <x:v>3</x:v>
      </x:c>
      <x:c r="C10" s="352" t="n">
        <x:v>5</x:v>
      </x:c>
      <x:c r="D10" s="495" t="n">
        <x:f>B10*C10</x:f>
        <x:v>15</x:v>
      </x:c>
      <x:c r="E10" s="296" t="str">
        <x:v>Batch complaints or sensory variance</x:v>
      </x:c>
      <x:c r="F10" s="296" t="str">
        <x:v>Supplier qualification, third-party testing, sample approval and batch traceability</x:v>
      </x:c>
      <x:c r="G10" s="296" t="str">
        <x:v>Reject supplier after unresolved material deviation</x:v>
      </x:c>
      <x:c r="H10" s="57" t="str">
        <x:v>Quality</x:v>
      </x:c>
    </x:row>
    <x:row r="11">
      <x:c r="A11" s="56" t="str">
        <x:v>Inventory becomes stale or traps cash</x:v>
      </x:c>
      <x:c r="B11" s="352" t="n">
        <x:v>4</x:v>
      </x:c>
      <x:c r="C11" s="352" t="n">
        <x:v>4</x:v>
      </x:c>
      <x:c r="D11" s="495" t="n">
        <x:f>B11*C11</x:f>
        <x:v>16</x:v>
      </x:c>
      <x:c r="E11" s="296" t="str">
        <x:v>Slow turns and discounting of premium tea</x:v>
      </x:c>
      <x:c r="F11" s="296" t="str">
        <x:v>Small lots, preorder, reorder points, aging dashboard</x:v>
      </x:c>
      <x:c r="G11" s="296" t="str">
        <x:v>Stop adding SKUs if annualized turns fall below target</x:v>
      </x:c>
      <x:c r="H11" s="57" t="str">
        <x:v>Merchandising</x:v>
      </x:c>
    </x:row>
    <x:row r="12">
      <x:c r="A12" s="56" t="str">
        <x:v>Content produces views but not buyers</x:v>
      </x:c>
      <x:c r="B12" s="352" t="n">
        <x:v>4</x:v>
      </x:c>
      <x:c r="C12" s="352" t="n">
        <x:v>4</x:v>
      </x:c>
      <x:c r="D12" s="495" t="n">
        <x:f>B12*C12</x:f>
        <x:v>16</x:v>
      </x:c>
      <x:c r="E12" s="296" t="str">
        <x:v>High reach, low click and order conversion</x:v>
      </x:c>
      <x:c r="F12" s="296" t="str">
        <x:v>Attach clear sampler/tasting CTA; cohort by content topic</x:v>
      </x:c>
      <x:c r="G12" s="296" t="str">
        <x:v>Stop a content format after two cycles with no qualified conversion</x:v>
      </x:c>
      <x:c r="H12" s="57" t="str">
        <x:v>Growth</x:v>
      </x:c>
    </x:row>
    <x:row r="13">
      <x:c r="A13" s="56" t="str">
        <x:v>Partnership conflict</x:v>
      </x:c>
      <x:c r="B13" s="352" t="n">
        <x:v>3</x:v>
      </x:c>
      <x:c r="C13" s="352" t="n">
        <x:v>5</x:v>
      </x:c>
      <x:c r="D13" s="495" t="n">
        <x:f>B13*C13</x:f>
        <x:v>15</x:v>
      </x:c>
      <x:c r="E13" s="296" t="str">
        <x:v>Role overlap, undocumented expenses, veto disputes</x:v>
      </x:c>
      <x:c r="F13" s="296" t="str">
        <x:v>Separate manager, employee and equity roles; written authority and exit terms</x:v>
      </x:c>
      <x:c r="G13" s="296" t="str">
        <x:v>Do not grant equity merely to fill an operating job</x:v>
      </x:c>
      <x:c r="H13" s="57" t="str">
        <x:v>Founder / Legal</x:v>
      </x:c>
    </x:row>
    <x:row r="14">
      <x:c r="A14" s="56" t="str">
        <x:v>Health claims create regulatory/reputation risk</x:v>
      </x:c>
      <x:c r="B14" s="352" t="n">
        <x:v>2</x:v>
      </x:c>
      <x:c r="C14" s="352" t="n">
        <x:v>4</x:v>
      </x:c>
      <x:c r="D14" s="495" t="n">
        <x:f>B14*C14</x:f>
        <x:v>8</x:v>
      </x:c>
      <x:c r="E14" s="296" t="str">
        <x:v>Marketing promises disease or medical outcomes</x:v>
      </x:c>
      <x:c r="F14" s="296" t="str">
        <x:v>Use sensory, ritual and cultural language; legal review of claims</x:v>
      </x:c>
      <x:c r="G14" s="296" t="str">
        <x:v>Remove unsupported claims immediately</x:v>
      </x:c>
      <x:c r="H14" s="57" t="str">
        <x:v>Brand / Legal</x:v>
      </x:c>
    </x:row>
    <x:row r="15">
      <x:c r="A15" s="58" t="str">
        <x:v>City score is wrong at neighborhood level</x:v>
      </x:c>
      <x:c r="B15" s="354" t="n">
        <x:v>4</x:v>
      </x:c>
      <x:c r="C15" s="354" t="n">
        <x:v>4</x:v>
      </x:c>
      <x:c r="D15" s="496" t="n">
        <x:f>B15*C15</x:f>
        <x:v>16</x:v>
      </x:c>
      <x:c r="E15" s="297" t="str">
        <x:v>Metro interest fails to translate to local paid demand</x:v>
      </x:c>
      <x:c r="F15" s="297" t="str">
        <x:v>Test events and ads by ZIP/neighborhood; inspect dayparts and parking</x:v>
      </x:c>
      <x:c r="G15" s="297" t="str">
        <x:v>Do not sign based on metro averages</x:v>
      </x:c>
      <x:c r="H15" s="59" t="str">
        <x:v>Research</x:v>
      </x:c>
    </x:row>
  </x:sheetData>
  <x:mergeCells>
    <x:mergeCell ref="A1:H1"/>
    <x:mergeCell ref="A2:H2"/>
  </x:mergeCells>
  <x:conditionalFormatting sqref="D4:D1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68" hidden="0" customWidth="1"/>
    <x:col min="3" max="3" width="70" hidden="0" customWidth="1"/>
    <x:col min="4" max="4" width="38" hidden="0" customWidth="1"/>
    <x:col min="5" max="5" width="62" hidden="0" customWidth="1"/>
  </x:cols>
  <x:sheetData>
    <x:row r="1" ht="34" customHeight="1">
      <x:c r="A1" s="5" t="str">
        <x:v>Legal, Immigration, Tax and Supply-Chain Issue Map</x:v>
      </x:c>
      <x:c r="B1" s="5"/>
      <x:c r="C1" s="5"/>
      <x:c r="D1" s="5"/>
      <x:c r="E1" s="5"/>
    </x:row>
    <x:row r="2" ht="34" customHeight="1">
      <x:c r="A2" s="13" t="str">
        <x:v>Issue spotting only. Use qualified attorneys, CPAs, customs brokers and FDA/food-compliance specialists.</x:v>
      </x:c>
      <x:c r="B2" s="13"/>
      <x:c r="C2" s="13"/>
      <x:c r="D2" s="13"/>
      <x:c r="E2" s="13"/>
    </x:row>
    <x:row r="3" ht="30" customHeight="1">
      <x:c r="A3" s="385" t="str">
        <x:v>Area</x:v>
      </x:c>
      <x:c r="B3" s="386" t="str">
        <x:v>Current Finding</x:v>
      </x:c>
      <x:c r="C3" s="386" t="str">
        <x:v>Business Implication / Action</x:v>
      </x:c>
      <x:c r="D3" s="386" t="str">
        <x:v>Primary Basis</x:v>
      </x:c>
      <x:c r="E3" s="387" t="str">
        <x:v>Source URL</x:v>
      </x:c>
    </x:row>
    <x:row r="4">
      <x:c r="A4" s="56" t="str">
        <x:v>LLC ownership</x:v>
      </x:c>
      <x:c r="B4" s="296" t="str">
        <x:v>A foreign person can be the owner of a U.S. entity; tax classification and state rules still matter.</x:v>
      </x:c>
      <x:c r="C4" s="296" t="str">
        <x:v>Use a manager-managed LLC only after CPA and counsel select the structure.</x:v>
      </x:c>
      <x:c r="D4" s="296" t="str">
        <x:v>IRS Publication 519; state formation law</x:v>
      </x:c>
      <x:c r="E4" s="267" t="str">
        <x:v>https://www.irs.gov/publications/p519</x:v>
      </x:c>
    </x:row>
    <x:row r="5">
      <x:c r="A5" s="56" t="str">
        <x:v>B-1 activity</x:v>
      </x:c>
      <x:c r="B5" s="296" t="str">
        <x:v>Negotiation, meetings and market investigation may be allowed; productive day-to-day operation is not.</x:v>
      </x:c>
      <x:c r="C5" s="296" t="str">
        <x:v>Founder should not cover shifts, prepare products or run the open store on visitor status.</x:v>
      </x:c>
      <x:c r="D5" s="296" t="str">
        <x:v>USCIS entrepreneur and B-1 pages</x:v>
      </x:c>
      <x:c r="E5" s="267" t="str">
        <x:v>https://www.uscis.gov/working-in-the-united-states/options-for-alien-entrepreneurs-to-work-in-the-united-states</x:v>
      </x:c>
    </x:row>
    <x:row r="6">
      <x:c r="A6" s="56" t="str">
        <x:v>Length of stay</x:v>
      </x:c>
      <x:c r="B6" s="296" t="str">
        <x:v>No guaranteed annual 180-day bank; each admission and I-94 controls.</x:v>
      </x:c>
      <x:c r="C6" s="296" t="str">
        <x:v>Plan short, purpose-specific trips and maintain evidence of foreign residence/business ties.</x:v>
      </x:c>
      <x:c r="D6" s="296" t="str">
        <x:v>Department of State I-94 guidance</x:v>
      </x:c>
      <x:c r="E6" s="267" t="str">
        <x:v>https://travel.state.gov/content/travel/en/us-visas/visa-information-resources/visa-expiration-date.html</x:v>
      </x:c>
    </x:row>
    <x:row r="7">
      <x:c r="A7" s="56" t="str">
        <x:v>E-2</x:v>
      </x:c>
      <x:c r="B7" s="296" t="str">
        <x:v>Mainland Chinese nationality alone is not treaty-qualified for E-2.</x:v>
      </x:c>
      <x:c r="C7" s="296" t="str">
        <x:v>Do not build the plan around E-2 unless another qualifying nationality exists.</x:v>
      </x:c>
      <x:c r="D7" s="296" t="str">
        <x:v>Department of State treaty list</x:v>
      </x:c>
      <x:c r="E7" s="267" t="str">
        <x:v>https://travel.state.gov/content/travel/en/us-visas/visa-information-resources/fees/treaty.html</x:v>
      </x:c>
    </x:row>
    <x:row r="8">
      <x:c r="A8" s="56" t="str">
        <x:v>Foreign-owned entity tax filing</x:v>
      </x:c>
      <x:c r="B8" s="296" t="str">
        <x:v>A foreign-owned disregarded entity may need pro forma Form 1120 and Form 5472.</x:v>
      </x:c>
      <x:c r="C8" s="296" t="str">
        <x:v>Hire a cross-border CPA before the first capital contribution or related-party payment.</x:v>
      </x:c>
      <x:c r="D8" s="296" t="str">
        <x:v>IRS Pub. 519 / Form 5472 instructions</x:v>
      </x:c>
      <x:c r="E8" s="267" t="str">
        <x:v>https://www.irs.gov/instructions/i5472</x:v>
      </x:c>
    </x:row>
    <x:row r="9">
      <x:c r="A9" s="56" t="str">
        <x:v>BOI reporting</x:v>
      </x:c>
      <x:c r="B9" s="296" t="str">
        <x:v>U.S.-formed companies are currently exempt under the Aug. 11, 2026 FinCEN final rule.</x:v>
      </x:c>
      <x:c r="C9" s="296" t="str">
        <x:v>Recheck when forming; state beneficial-owner disclosures may differ.</x:v>
      </x:c>
      <x:c r="D9" s="296" t="str">
        <x:v>FinCEN BOI page</x:v>
      </x:c>
      <x:c r="E9" s="267" t="str">
        <x:v>https://www.fincen.gov/boi</x:v>
      </x:c>
    </x:row>
    <x:row r="10">
      <x:c r="A10" s="56" t="str">
        <x:v>Financing</x:v>
      </x:c>
      <x:c r="B10" s="296" t="str">
        <x:v>Current SBA policy blocks foreign nationals from SBA-backed loans.</x:v>
      </x:c>
      <x:c r="C10" s="296" t="str">
        <x:v>Assume founder equity, conventional lending with guarantees, or private capital—not SBA debt.</x:v>
      </x:c>
      <x:c r="D10" s="296" t="str">
        <x:v>SBA March 2026 announcement</x:v>
      </x:c>
      <x:c r="E10" s="267" t="str">
        <x:v>https://www.sba.gov/article/2026/03/09/sba-bans-foreign-nationals-accessing-sba-backed-loans</x:v>
      </x:c>
    </x:row>
    <x:row r="11">
      <x:c r="A11" s="56" t="str">
        <x:v>Food facility/prior notice</x:v>
      </x:c>
      <x:c r="B11" s="296" t="str">
        <x:v>Foreign facilities and incoming food shipments can trigger FDA registration and prior notice.</x:v>
      </x:c>
      <x:c r="C11" s="296" t="str">
        <x:v>Use a U.S. importer initially; document who files and who is importer of record.</x:v>
      </x:c>
      <x:c r="D11" s="296" t="str">
        <x:v>FDA importing food page</x:v>
      </x:c>
      <x:c r="E11" s="267" t="str">
        <x:v>https://www.fda.gov/food/food-imports-exports/importing-food-products-united-states</x:v>
      </x:c>
    </x:row>
    <x:row r="12">
      <x:c r="A12" s="56" t="str">
        <x:v>FSVP</x:v>
      </x:c>
      <x:c r="B12" s="296" t="str">
        <x:v>The U.S. FSVP importer generally needs a program for each food/supplier.</x:v>
      </x:c>
      <x:c r="C12" s="296" t="str">
        <x:v>Do not assume the customs broker is the FSVP importer; contract this explicitly.</x:v>
      </x:c>
      <x:c r="D12" s="296" t="str">
        <x:v>FDA FSVP final rule</x:v>
      </x:c>
      <x:c r="E12" s="267" t="str">
        <x:v>https://www.fda.gov/food/food-safety-modernization-act-fsma/fsma-final-rule-foreign-supplier-verification-programs-fsvp-importers-food-humans-and-animals</x:v>
      </x:c>
    </x:row>
    <x:row r="13">
      <x:c r="A13" s="56" t="str">
        <x:v>Customs/tariffs</x:v>
      </x:c>
      <x:c r="B13" s="296" t="str">
        <x:v>Tea's base HTS rate may be low or free, but product form, packaging and China Chapter 99 measures can change landed cost.</x:v>
      </x:c>
      <x:c r="C13" s="296" t="str">
        <x:v>Obtain a written classification and landed-cost worksheet from a customs broker per SKU.</x:v>
      </x:c>
      <x:c r="D13" s="296" t="str">
        <x:v>USITC HTS</x:v>
      </x:c>
      <x:c r="E13" s="267" t="str">
        <x:v>https://hts.usitc.gov/</x:v>
      </x:c>
    </x:row>
    <x:row r="14">
      <x:c r="A14" s="56" t="str">
        <x:v>Remote controls</x:v>
      </x:c>
      <x:c r="B14" s="296" t="str">
        <x:v>Local manager does not need equity to operate the store.</x:v>
      </x:c>
      <x:c r="C14" s="296" t="str">
        <x:v>Use spending limits, dual approval, POS/bank visibility, independent books and inventory counts.</x:v>
      </x:c>
      <x:c r="D14" s="296" t="str">
        <x:v>Analyst recommendation</x:v>
      </x:c>
      <x:c r="E14" s="267" t="str"/>
    </x:row>
    <x:row r="15">
      <x:c r="A15" s="58" t="str">
        <x:v>Initial sourcing</x:v>
      </x:c>
      <x:c r="B15" s="297" t="str">
        <x:v>Direct farm import maximizes story and potential margin but adds compliance and working capital.</x:v>
      </x:c>
      <x:c r="C15" s="297" t="str">
        <x:v>Begin with a qualified U.S. importer; direct-import only after stable volume and savings exceed compliance burden.</x:v>
      </x:c>
      <x:c r="D15" s="297" t="str">
        <x:v>Analyst recommendation based on FDA requirements</x:v>
      </x:c>
      <x:c r="E15" s="271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70" hidden="0" customWidth="1"/>
    <x:col min="4" max="4" width="34" hidden="0" customWidth="1"/>
    <x:col min="5" max="5" width="55" hidden="0" customWidth="1"/>
    <x:col min="6" max="6" width="18" hidden="0" customWidth="1"/>
    <x:col min="7" max="7" width="15" hidden="0" customWidth="1"/>
    <x:col min="8" max="8" width="65" hidden="0" customWidth="1"/>
    <x:col min="9" max="9" width="15" hidden="0" customWidth="1"/>
    <x:col min="10" max="10" width="65" hidden="0" customWidth="1"/>
  </x:cols>
  <x:sheetData>
    <x:row r="1" ht="34" customHeight="1">
      <x:c r="A1" s="5" t="str">
        <x:v>Source Ledger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Numerical, legal, regulatory and current-status claims should be rechecked before execution.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30" customHeight="1">
      <x:c r="A3" s="385" t="str">
        <x:v>ID</x:v>
      </x:c>
      <x:c r="B3" s="386" t="str">
        <x:v>Category</x:v>
      </x:c>
      <x:c r="C3" s="386" t="str">
        <x:v>Claim Supported</x:v>
      </x:c>
      <x:c r="D3" s="386" t="str">
        <x:v>Organization</x:v>
      </x:c>
      <x:c r="E3" s="386" t="str">
        <x:v>Title</x:v>
      </x:c>
      <x:c r="F3" s="386" t="str">
        <x:v>Publication / Update</x:v>
      </x:c>
      <x:c r="G3" s="386" t="str">
        <x:v>Access Date</x:v>
      </x:c>
      <x:c r="H3" s="386" t="str">
        <x:v>URL</x:v>
      </x:c>
      <x:c r="I3" s="386" t="str">
        <x:v>Tier</x:v>
      </x:c>
      <x:c r="J3" s="387" t="str">
        <x:v>Limitations / Notes</x:v>
      </x:c>
    </x:row>
    <x:row r="4">
      <x:c r="A4" s="56" t="str">
        <x:v>S01</x:v>
      </x:c>
      <x:c r="B4" s="296" t="str">
        <x:v>Market</x:v>
      </x:c>
      <x:c r="C4" s="296" t="str">
        <x:v>U.S. tea consumption: almost 85B servings in 2021; 84% black, 15% green</x:v>
      </x:c>
      <x:c r="D4" s="296" t="str">
        <x:v>U.S. Census Bureau</x:v>
      </x:c>
      <x:c r="E4" s="296" t="str">
        <x:v>National Hot Tea Month: January 2024</x:v>
      </x:c>
      <x:c r="F4" s="296" t="str">
        <x:v>2024-01</x:v>
      </x:c>
      <x:c r="G4" s="296" t="str">
        <x:v>2026-08-27</x:v>
      </x:c>
      <x:c r="H4" s="266" t="str">
        <x:v>https://www.census.gov/newsroom/stories/hot-tea-month.html</x:v>
      </x:c>
      <x:c r="I4" s="296" t="str">
        <x:v>Tier 1</x:v>
      </x:c>
      <x:c r="J4" s="57" t="str">
        <x:v>Uses Tea Association figures; broad tea consumption is not proof of premium Chinese-tea demand.</x:v>
      </x:c>
    </x:row>
    <x:row r="5">
      <x:c r="A5" s="56" t="str">
        <x:v>S02</x:v>
      </x:c>
      <x:c r="B5" s="296" t="str">
        <x:v>Market</x:v>
      </x:c>
      <x:c r="C5" s="296" t="str">
        <x:v>Bag and loose-leaf retail sales were $1.7B, +2.6% dollars and +0.9% volume for 52 weeks ending Apr. 20, 2025</x:v>
      </x:c>
      <x:c r="D5" s="296" t="str">
        <x:v>Beverage Industry / Circana</x:v>
      </x:c>
      <x:c r="E5" s="296" t="str">
        <x:v>2025 State of the Beverage Industry: Tea market sees sales up, volume declines</x:v>
      </x:c>
      <x:c r="F5" s="296" t="str">
        <x:v>2025-07-16</x:v>
      </x:c>
      <x:c r="G5" s="296" t="str">
        <x:v>2026-08-27</x:v>
      </x:c>
      <x:c r="H5" s="266" t="str">
        <x:v>https://www.bevindustry.com/articles/97646-2025-state-of-the-beverage-industry-tea-market-sees-sales-up-volume-declines</x:v>
      </x:c>
      <x:c r="I5" s="296" t="str">
        <x:v>Tier 2</x:v>
      </x:c>
      <x:c r="J5" s="57" t="str">
        <x:v>Useful narrow retail measure; does not isolate Chinese specialty tea.</x:v>
      </x:c>
    </x:row>
    <x:row r="6">
      <x:c r="A6" s="56" t="str">
        <x:v>S03</x:v>
      </x:c>
      <x:c r="B6" s="296" t="str">
        <x:v>Trend</x:v>
      </x:c>
      <x:c r="C6" s="296" t="str">
        <x:v>New U.S. tea concepts are combining community, late-night use, cultural traditions and modern beverages</x:v>
      </x:c>
      <x:c r="D6" s="296" t="str">
        <x:v>Eater</x:v>
      </x:c>
      <x:c r="E6" s="296" t="str">
        <x:v>Tea Is So Hot Right Now</x:v>
      </x:c>
      <x:c r="F6" s="296" t="str">
        <x:v>2026-08</x:v>
      </x:c>
      <x:c r="G6" s="296" t="str">
        <x:v>2026-08-27</x:v>
      </x:c>
      <x:c r="H6" s="266" t="str">
        <x:v>https://www.eater.com/drinks/981280/modern-late-night-teahouse-trend-heytea-expansion</x:v>
      </x:c>
      <x:c r="I6" s="296" t="str">
        <x:v>Tier 2</x:v>
      </x:c>
      <x:c r="J6" s="57" t="str">
        <x:v>Trend evidence, not proof of unit economics.</x:v>
      </x:c>
    </x:row>
    <x:row r="7">
      <x:c r="A7" s="56" t="str">
        <x:v>S04</x:v>
      </x:c>
      <x:c r="B7" s="296" t="str">
        <x:v>Immigration</x:v>
      </x:c>
      <x:c r="C7" s="296" t="str">
        <x:v>A B-1 visitor may secure funding or space, negotiate, and attend meetings, but may not begin operating or working for the U.S. business</x:v>
      </x:c>
      <x:c r="D7" s="296" t="str">
        <x:v>USCIS</x:v>
      </x:c>
      <x:c r="E7" s="296" t="str">
        <x:v>Options for Alien Entrepreneurs to Work in the United States</x:v>
      </x:c>
      <x:c r="F7" s="296" t="str">
        <x:v>2025-01-24</x:v>
      </x:c>
      <x:c r="G7" s="296" t="str">
        <x:v>2026-08-27</x:v>
      </x:c>
      <x:c r="H7" s="266" t="str">
        <x:v>https://www.uscis.gov/working-in-the-united-states/options-for-alien-entrepreneurs-to-work-in-the-united-states</x:v>
      </x:c>
      <x:c r="I7" s="296" t="str">
        <x:v>Tier 1</x:v>
      </x:c>
      <x:c r="J7" s="57" t="str">
        <x:v>Confirm individual facts with immigration counsel.</x:v>
      </x:c>
    </x:row>
    <x:row r="8">
      <x:c r="A8" s="56" t="str">
        <x:v>S05</x:v>
      </x:c>
      <x:c r="B8" s="296" t="str">
        <x:v>Immigration</x:v>
      </x:c>
      <x:c r="C8" s="296" t="str">
        <x:v>Negotiating contracts is a listed B-1 activity</x:v>
      </x:c>
      <x:c r="D8" s="296" t="str">
        <x:v>USCIS</x:v>
      </x:c>
      <x:c r="E8" s="296" t="str">
        <x:v>B-1 Temporary Business Visitor</x:v>
      </x:c>
      <x:c r="F8" s="296" t="str">
        <x:v>2025-01-25</x:v>
      </x:c>
      <x:c r="G8" s="296" t="str">
        <x:v>2026-08-27</x:v>
      </x:c>
      <x:c r="H8" s="266" t="str">
        <x:v>https://www.uscis.gov/working-in-the-united-states/temporary-visitors-for-business/b-1-temporary-business-visitor</x:v>
      </x:c>
      <x:c r="I8" s="296" t="str">
        <x:v>Tier 1</x:v>
      </x:c>
      <x:c r="J8" s="57" t="str">
        <x:v>Does not authorize productive day-to-day labor.</x:v>
      </x:c>
    </x:row>
    <x:row r="9">
      <x:c r="A9" s="56" t="str">
        <x:v>S06</x:v>
      </x:c>
      <x:c r="B9" s="296" t="str">
        <x:v>Immigration</x:v>
      </x:c>
      <x:c r="C9" s="296" t="str">
        <x:v>Authorized stay is controlled by the admitted-until date on Form I-94, not visa expiration or a fixed annual 180-day quota</x:v>
      </x:c>
      <x:c r="D9" s="296" t="str">
        <x:v>U.S. Department of State</x:v>
      </x:c>
      <x:c r="E9" s="296" t="str">
        <x:v>What the Visa Expiration Date Means</x:v>
      </x:c>
      <x:c r="F9" s="296" t="str">
        <x:v>Current</x:v>
      </x:c>
      <x:c r="G9" s="296" t="str">
        <x:v>2026-08-27</x:v>
      </x:c>
      <x:c r="H9" s="266" t="str">
        <x:v>https://travel.state.gov/content/travel/en/us-visas/visa-information-resources/visa-expiration-date.html</x:v>
      </x:c>
      <x:c r="I9" s="296" t="str">
        <x:v>Tier 1</x:v>
      </x:c>
      <x:c r="J9" s="57" t="str">
        <x:v>Admission remains discretionary at each entry.</x:v>
      </x:c>
    </x:row>
    <x:row r="10">
      <x:c r="A10" s="56" t="str">
        <x:v>S07</x:v>
      </x:c>
      <x:c r="B10" s="296" t="str">
        <x:v>Immigration</x:v>
      </x:c>
      <x:c r="C10" s="296" t="str">
        <x:v>E-2 requires nationality of a treaty country; mainland China is not listed as an E-2 treaty country</x:v>
      </x:c>
      <x:c r="D10" s="296" t="str">
        <x:v>U.S. Department of State</x:v>
      </x:c>
      <x:c r="E10" s="296" t="str">
        <x:v>Treaty Countries</x:v>
      </x:c>
      <x:c r="F10" s="296" t="str">
        <x:v>Current</x:v>
      </x:c>
      <x:c r="G10" s="296" t="str">
        <x:v>2026-08-27</x:v>
      </x:c>
      <x:c r="H10" s="266" t="str">
        <x:v>https://travel.state.gov/content/travel/en/us-visas/visa-information-resources/fees/treaty.html</x:v>
      </x:c>
      <x:c r="I10" s="296" t="str">
        <x:v>Tier 1</x:v>
      </x:c>
      <x:c r="J10" s="57" t="str">
        <x:v>Dual nationality can change analysis; obtain counsel.</x:v>
      </x:c>
    </x:row>
    <x:row r="11">
      <x:c r="A11" s="56" t="str">
        <x:v>S08</x:v>
      </x:c>
      <x:c r="B11" s="296" t="str">
        <x:v>Tax</x:v>
      </x:c>
      <x:c r="C11" s="296" t="str">
        <x:v>Foreign-owned U.S. disregarded entities can have Form 5472/pro forma Form 1120 obligations</x:v>
      </x:c>
      <x:c r="D11" s="296" t="str">
        <x:v>Internal Revenue Service</x:v>
      </x:c>
      <x:c r="E11" s="296" t="str">
        <x:v>Publication 519 (2025), U.S. Tax Guide for Aliens</x:v>
      </x:c>
      <x:c r="F11" s="296" t="str">
        <x:v>2026</x:v>
      </x:c>
      <x:c r="G11" s="296" t="str">
        <x:v>2026-08-27</x:v>
      </x:c>
      <x:c r="H11" s="266" t="str">
        <x:v>https://www.irs.gov/publications/p519</x:v>
      </x:c>
      <x:c r="I11" s="296" t="str">
        <x:v>Tier 1</x:v>
      </x:c>
      <x:c r="J11" s="57" t="str">
        <x:v>Entity classification and owner facts matter.</x:v>
      </x:c>
    </x:row>
    <x:row r="12">
      <x:c r="A12" s="56" t="str">
        <x:v>S09</x:v>
      </x:c>
      <x:c r="B12" s="296" t="str">
        <x:v>Tax</x:v>
      </x:c>
      <x:c r="C12" s="296" t="str">
        <x:v>Failure to file a complete Form 5472 can trigger a $25,000 initial penalty</x:v>
      </x:c>
      <x:c r="D12" s="296" t="str">
        <x:v>Internal Revenue Service</x:v>
      </x:c>
      <x:c r="E12" s="296" t="str">
        <x:v>Instructions for Form 5472</x:v>
      </x:c>
      <x:c r="F12" s="296" t="str">
        <x:v>2026-04-30</x:v>
      </x:c>
      <x:c r="G12" s="296" t="str">
        <x:v>2026-08-27</x:v>
      </x:c>
      <x:c r="H12" s="266" t="str">
        <x:v>https://www.irs.gov/instructions/i5472</x:v>
      </x:c>
      <x:c r="I12" s="296" t="str">
        <x:v>Tier 1</x:v>
      </x:c>
      <x:c r="J12" s="57" t="str">
        <x:v>Continuation penalties can apply.</x:v>
      </x:c>
    </x:row>
    <x:row r="13">
      <x:c r="A13" s="56" t="str">
        <x:v>S10</x:v>
      </x:c>
      <x:c r="B13" s="296" t="str">
        <x:v>Corporate reporting</x:v>
      </x:c>
      <x:c r="C13" s="296" t="str">
        <x:v>U.S.-created companies are currently exempt from federal BOI reporting under FinCEN's Aug. 11, 2026 final rule</x:v>
      </x:c>
      <x:c r="D13" s="296" t="str">
        <x:v>FinCEN</x:v>
      </x:c>
      <x:c r="E13" s="296" t="str">
        <x:v>Beneficial Ownership Information Reporting</x:v>
      </x:c>
      <x:c r="F13" s="296" t="str">
        <x:v>2026-08-11</x:v>
      </x:c>
      <x:c r="G13" s="296" t="str">
        <x:v>2026-08-27</x:v>
      </x:c>
      <x:c r="H13" s="266" t="str">
        <x:v>https://www.fincen.gov/boi</x:v>
      </x:c>
      <x:c r="I13" s="296" t="str">
        <x:v>Tier 1</x:v>
      </x:c>
      <x:c r="J13" s="57" t="str">
        <x:v>Rule is time-sensitive; recheck at formation.</x:v>
      </x:c>
    </x:row>
    <x:row r="14">
      <x:c r="A14" s="56" t="str">
        <x:v>S11</x:v>
      </x:c>
      <x:c r="B14" s="296" t="str">
        <x:v>Financing</x:v>
      </x:c>
      <x:c r="C14" s="296" t="str">
        <x:v>SBA announced that foreign nationals are barred from SBA-backed loans under current 2026 policy</x:v>
      </x:c>
      <x:c r="D14" s="296" t="str">
        <x:v>U.S. Small Business Administration</x:v>
      </x:c>
      <x:c r="E14" s="296" t="str">
        <x:v>SBA Bans Foreign Nationals from Accessing SBA-backed Loans</x:v>
      </x:c>
      <x:c r="F14" s="296" t="str">
        <x:v>2026-03-09</x:v>
      </x:c>
      <x:c r="G14" s="296" t="str">
        <x:v>2026-08-27</x:v>
      </x:c>
      <x:c r="H14" s="266" t="str">
        <x:v>https://www.sba.gov/article/2026/03/09/sba-bans-foreign-nationals-accessing-sba-backed-loans</x:v>
      </x:c>
      <x:c r="I14" s="296" t="str">
        <x:v>Tier 1</x:v>
      </x:c>
      <x:c r="J14" s="57" t="str">
        <x:v>Conventional/private financing may still be possible.</x:v>
      </x:c>
    </x:row>
    <x:row r="15">
      <x:c r="A15" s="56" t="str">
        <x:v>S12</x:v>
      </x:c>
      <x:c r="B15" s="296" t="str">
        <x:v>Import</x:v>
      </x:c>
      <x:c r="C15" s="296" t="str">
        <x:v>Food may be imported without prior FDA product approval when applicable facilities are registered and prior notice is provided</x:v>
      </x:c>
      <x:c r="D15" s="296" t="str">
        <x:v>U.S. Food and Drug Administration</x:v>
      </x:c>
      <x:c r="E15" s="296" t="str">
        <x:v>Importing Food Products into the United States</x:v>
      </x:c>
      <x:c r="F15" s="296" t="str">
        <x:v>2024-12-11</x:v>
      </x:c>
      <x:c r="G15" s="296" t="str">
        <x:v>2026-08-27</x:v>
      </x:c>
      <x:c r="H15" s="266" t="str">
        <x:v>https://www.fda.gov/food/food-imports-exports/importing-food-products-united-states</x:v>
      </x:c>
      <x:c r="I15" s="296" t="str">
        <x:v>Tier 1</x:v>
      </x:c>
      <x:c r="J15" s="57" t="str">
        <x:v>Other requirements still apply.</x:v>
      </x:c>
    </x:row>
    <x:row r="16">
      <x:c r="A16" s="56" t="str">
        <x:v>S13</x:v>
      </x:c>
      <x:c r="B16" s="296" t="str">
        <x:v>Import</x:v>
      </x:c>
      <x:c r="C16" s="296" t="str">
        <x:v>FSVP importers generally must develop and follow an FSVP for each food and foreign supplier</x:v>
      </x:c>
      <x:c r="D16" s="296" t="str">
        <x:v>U.S. Food and Drug Administration</x:v>
      </x:c>
      <x:c r="E16" s="296" t="str">
        <x:v>FSMA Final Rule on Foreign Supplier Verification Programs</x:v>
      </x:c>
      <x:c r="F16" s="296" t="str">
        <x:v>2026-05-01</x:v>
      </x:c>
      <x:c r="G16" s="296" t="str">
        <x:v>2026-08-27</x:v>
      </x:c>
      <x:c r="H16" s="266" t="str">
        <x:v>https://www.fda.gov/food/food-safety-modernization-act-fsma/fsma-final-rule-foreign-supplier-verification-programs-fsvp-importers-food-humans-and-animals</x:v>
      </x:c>
      <x:c r="I16" s="296" t="str">
        <x:v>Tier 1</x:v>
      </x:c>
      <x:c r="J16" s="57" t="str">
        <x:v>Exemptions and modified requirements are fact-specific.</x:v>
      </x:c>
    </x:row>
    <x:row r="17">
      <x:c r="A17" s="56" t="str">
        <x:v>S14</x:v>
      </x:c>
      <x:c r="B17" s="296" t="str">
        <x:v>Customs</x:v>
      </x:c>
      <x:c r="C17" s="296" t="str">
        <x:v>Current tariff classification must be checked in the Harmonized Tariff Schedule; China-specific Chapter 99 measures may alter base rates</x:v>
      </x:c>
      <x:c r="D17" s="296" t="str">
        <x:v>U.S. International Trade Commission</x:v>
      </x:c>
      <x:c r="E17" s="296" t="str">
        <x:v>Harmonized Tariff Schedule</x:v>
      </x:c>
      <x:c r="F17" s="296" t="str">
        <x:v>Current</x:v>
      </x:c>
      <x:c r="G17" s="296" t="str">
        <x:v>2026-08-27</x:v>
      </x:c>
      <x:c r="H17" s="266" t="str">
        <x:v>https://hts.usitc.gov/</x:v>
      </x:c>
      <x:c r="I17" s="296" t="str">
        <x:v>Tier 1</x:v>
      </x:c>
      <x:c r="J17" s="57" t="str">
        <x:v>Have a customs broker classify each product/packaging configuration.</x:v>
      </x:c>
    </x:row>
    <x:row r="18">
      <x:c r="A18" s="56" t="str">
        <x:v>S15</x:v>
      </x:c>
      <x:c r="B18" s="296" t="str">
        <x:v>Labor</x:v>
      </x:c>
      <x:c r="C18" s="296" t="str">
        <x:v>Median annual wage for food service managers was $69,390 in May 2025</x:v>
      </x:c>
      <x:c r="D18" s="296" t="str">
        <x:v>U.S. Bureau of Labor Statistics</x:v>
      </x:c>
      <x:c r="E18" s="296" t="str">
        <x:v>Food Service Managers, Occupational Outlook Handbook</x:v>
      </x:c>
      <x:c r="F18" s="296" t="str">
        <x:v>2026-08-26</x:v>
      </x:c>
      <x:c r="G18" s="296" t="str">
        <x:v>2026-08-27</x:v>
      </x:c>
      <x:c r="H18" s="266" t="str">
        <x:v>https://www.bls.gov/ooh/management/food-service-managers.htm</x:v>
      </x:c>
      <x:c r="I18" s="296" t="str">
        <x:v>Tier 1</x:v>
      </x:c>
      <x:c r="J18" s="57" t="str">
        <x:v>Local compensation can be materially higher.</x:v>
      </x:c>
    </x:row>
    <x:row r="19">
      <x:c r="A19" s="56" t="str">
        <x:v>S16</x:v>
      </x:c>
      <x:c r="B19" s="296" t="str">
        <x:v>Labor</x:v>
      </x:c>
      <x:c r="C19" s="296" t="str">
        <x:v>Seattle minimum wage is $21.30/hour in 2026</x:v>
      </x:c>
      <x:c r="D19" s="296" t="str">
        <x:v>City of Seattle</x:v>
      </x:c>
      <x:c r="E19" s="296" t="str">
        <x:v>Minimum Wage Ordinance</x:v>
      </x:c>
      <x:c r="F19" s="296" t="str">
        <x:v>2026</x:v>
      </x:c>
      <x:c r="G19" s="296" t="str">
        <x:v>2026-08-27</x:v>
      </x:c>
      <x:c r="H19" s="266" t="str">
        <x:v>https://www.seattle.gov/laborstandards/ordinances/minimum-wage</x:v>
      </x:c>
      <x:c r="I19" s="296" t="str">
        <x:v>Tier 1</x:v>
      </x:c>
      <x:c r="J19" s="57" t="str">
        <x:v>Applies within Seattle city limits.</x:v>
      </x:c>
    </x:row>
    <x:row r="20">
      <x:c r="A20" s="56" t="str">
        <x:v>S17</x:v>
      </x:c>
      <x:c r="B20" s="296" t="str">
        <x:v>Rent</x:v>
      </x:c>
      <x:c r="C20" s="296" t="str">
        <x:v>San Francisco average retail asking rent was reported at $35.34/sf/year in Q2 2026</x:v>
      </x:c>
      <x:c r="D20" s="296" t="str">
        <x:v>Kidder Mathews / CoStar</x:v>
      </x:c>
      <x:c r="E20" s="296" t="str">
        <x:v>San Francisco Retail Market Report Q2 2026</x:v>
      </x:c>
      <x:c r="F20" s="296" t="str">
        <x:v>2026-Q2</x:v>
      </x:c>
      <x:c r="G20" s="296" t="str">
        <x:v>2026-08-27</x:v>
      </x:c>
      <x:c r="H20" s="266" t="str">
        <x:v>https://kidder.com/market-reports/san-francisco-retail-market-report/</x:v>
      </x:c>
      <x:c r="I20" s="296" t="str">
        <x:v>Tier 2</x:v>
      </x:c>
      <x:c r="J20" s="57" t="str">
        <x:v>Metro averages are not site quotes and may exclude NNN/CAM.</x:v>
      </x:c>
    </x:row>
    <x:row r="21">
      <x:c r="A21" s="56" t="str">
        <x:v>S18</x:v>
      </x:c>
      <x:c r="B21" s="296" t="str">
        <x:v>Demographics</x:v>
      </x:c>
      <x:c r="C21" s="296" t="str">
        <x:v>Los Angeles: median household income $82,263; bachelor's degree or higher 39.9% (ACS 2024)</x:v>
      </x:c>
      <x:c r="D21" s="296" t="str">
        <x:v>U.S. Census Bureau</x:v>
      </x:c>
      <x:c r="E21" s="296" t="str">
        <x:v>Los Angeles city profile</x:v>
      </x:c>
      <x:c r="F21" s="296" t="str">
        <x:v>2024 ACS</x:v>
      </x:c>
      <x:c r="G21" s="296" t="str">
        <x:v>2026-08-27</x:v>
      </x:c>
      <x:c r="H21" s="266" t="str">
        <x:v>https://data.census.gov/profile/Los_Angeles_city%2C_California?g=160XX00US0644000</x:v>
      </x:c>
      <x:c r="I21" s="296" t="str">
        <x:v>Tier 1</x:v>
      </x:c>
      <x:c r="J21" s="57" t="str">
        <x:v>Citywide averages hide major neighborhood variation.</x:v>
      </x:c>
    </x:row>
    <x:row r="22">
      <x:c r="A22" s="56" t="str">
        <x:v>S19</x:v>
      </x:c>
      <x:c r="B22" s="296" t="str">
        <x:v>Demographics</x:v>
      </x:c>
      <x:c r="C22" s="296" t="str">
        <x:v>Seattle profile: high household income, education and mobility relative to U.S.</x:v>
      </x:c>
      <x:c r="D22" s="296" t="str">
        <x:v>Census Reporter / ACS</x:v>
      </x:c>
      <x:c r="E22" s="296" t="str">
        <x:v>Seattle, WA profile</x:v>
      </x:c>
      <x:c r="F22" s="296" t="str">
        <x:v>2024 ACS</x:v>
      </x:c>
      <x:c r="G22" s="296" t="str">
        <x:v>2026-08-27</x:v>
      </x:c>
      <x:c r="H22" s="266" t="str">
        <x:v>https://censusreporter.org/profiles/16000US5363000-seattle-wa/</x:v>
      </x:c>
      <x:c r="I22" s="296" t="str">
        <x:v>Tier 1 mirror</x:v>
      </x:c>
      <x:c r="J22" s="57" t="str">
        <x:v>Use Census data for final site study.</x:v>
      </x:c>
    </x:row>
    <x:row r="23">
      <x:c r="A23" s="56" t="str">
        <x:v>S20</x:v>
      </x:c>
      <x:c r="B23" s="296" t="str">
        <x:v>Demographics</x:v>
      </x:c>
      <x:c r="C23" s="296" t="str">
        <x:v>Austin bachelor's degree or higher 60.7% (ACS 2024)</x:v>
      </x:c>
      <x:c r="D23" s="296" t="str">
        <x:v>Census Reporter / ACS</x:v>
      </x:c>
      <x:c r="E23" s="296" t="str">
        <x:v>Austin, TX profile</x:v>
      </x:c>
      <x:c r="F23" s="296" t="str">
        <x:v>2024 ACS</x:v>
      </x:c>
      <x:c r="G23" s="296" t="str">
        <x:v>2026-08-27</x:v>
      </x:c>
      <x:c r="H23" s="266" t="str">
        <x:v>https://censusreporter.org/profiles/16000US4805000-austin-tx/</x:v>
      </x:c>
      <x:c r="I23" s="296" t="str">
        <x:v>Tier 1 mirror</x:v>
      </x:c>
      <x:c r="J23" s="57" t="str">
        <x:v>Citywide averages hide neighborhood variation.</x:v>
      </x:c>
    </x:row>
    <x:row r="24">
      <x:c r="A24" s="56" t="str">
        <x:v>S21</x:v>
      </x:c>
      <x:c r="B24" s="296" t="str">
        <x:v>Demographics</x:v>
      </x:c>
      <x:c r="C24" s="296" t="str">
        <x:v>San Francisco median household income $139,801 and bachelor's degree or higher 60.9% (ACS 2024)</x:v>
      </x:c>
      <x:c r="D24" s="296" t="str">
        <x:v>Census Reporter / ACS</x:v>
      </x:c>
      <x:c r="E24" s="296" t="str">
        <x:v>San Francisco, CA profile</x:v>
      </x:c>
      <x:c r="F24" s="296" t="str">
        <x:v>2024 ACS</x:v>
      </x:c>
      <x:c r="G24" s="296" t="str">
        <x:v>2026-08-27</x:v>
      </x:c>
      <x:c r="H24" s="266" t="str">
        <x:v>https://censusreporter.org/profiles/16000US0667000-san-francisco-ca/</x:v>
      </x:c>
      <x:c r="I24" s="296" t="str">
        <x:v>Tier 1 mirror</x:v>
      </x:c>
      <x:c r="J24" s="57" t="str">
        <x:v>High spending power comes with high operating costs.</x:v>
      </x:c>
    </x:row>
    <x:row r="25">
      <x:c r="A25" s="56" t="str">
        <x:v>S22</x:v>
      </x:c>
      <x:c r="B25" s="296" t="str">
        <x:v>Comparable</x:v>
      </x:c>
      <x:c r="C25" s="296" t="str">
        <x:v>Steep LA lists tea ceremony sets at $35/$45 and supplements tea with food and an evening program</x:v>
      </x:c>
      <x:c r="D25" s="296" t="str">
        <x:v>Steep LA</x:v>
      </x:c>
      <x:c r="E25" s="296" t="str">
        <x:v>Official website/menu</x:v>
      </x:c>
      <x:c r="F25" s="296" t="str">
        <x:v>Current</x:v>
      </x:c>
      <x:c r="G25" s="296" t="str">
        <x:v>2026-08-27</x:v>
      </x:c>
      <x:c r="H25" s="266" t="str">
        <x:v>https://steepla.com/</x:v>
      </x:c>
      <x:c r="I25" s="296" t="str">
        <x:v>Tier 2</x:v>
      </x:c>
      <x:c r="J25" s="57" t="str">
        <x:v>Demonstrates hybrid hospitality and price acceptance.</x:v>
      </x:c>
    </x:row>
    <x:row r="26">
      <x:c r="A26" s="56" t="str">
        <x:v>S23</x:v>
      </x:c>
      <x:c r="B26" s="296" t="str">
        <x:v>Comparable</x:v>
      </x:c>
      <x:c r="C26" s="296" t="str">
        <x:v>Tea Habitat lists $50 regular tasting and premium tasting/workshop tiers up to $325</x:v>
      </x:c>
      <x:c r="D26" s="296" t="str">
        <x:v>Tea Habitat</x:v>
      </x:c>
      <x:c r="E26" s="296" t="str">
        <x:v>Tea Tastings and Workshops</x:v>
      </x:c>
      <x:c r="F26" s="296" t="str">
        <x:v>Current</x:v>
      </x:c>
      <x:c r="G26" s="296" t="str">
        <x:v>2026-08-27</x:v>
      </x:c>
      <x:c r="H26" s="266" t="str">
        <x:v>https://teahabitat.com/collections/tea-tasting</x:v>
      </x:c>
      <x:c r="I26" s="296" t="str">
        <x:v>Tier 2</x:v>
      </x:c>
      <x:c r="J26" s="57" t="str">
        <x:v>Demonstrates specialist authority and high-end experience pricing.</x:v>
      </x:c>
    </x:row>
    <x:row r="27">
      <x:c r="A27" s="56" t="str">
        <x:v>S24</x:v>
      </x:c>
      <x:c r="B27" s="296" t="str">
        <x:v>Comparable</x:v>
      </x:c>
      <x:c r="C27" s="296" t="str">
        <x:v>West China Tea lists a $30 tea subscription and $130 monthly teahouse membership</x:v>
      </x:c>
      <x:c r="D27" s="296" t="str">
        <x:v>West China Tea</x:v>
      </x:c>
      <x:c r="E27" s="296" t="str">
        <x:v>Subscriptions</x:v>
      </x:c>
      <x:c r="F27" s="296" t="str">
        <x:v>Current</x:v>
      </x:c>
      <x:c r="G27" s="296" t="str">
        <x:v>2026-08-27</x:v>
      </x:c>
      <x:c r="H27" s="266" t="str">
        <x:v>https://westchinatea.com/subscriptions/</x:v>
      </x:c>
      <x:c r="I27" s="296" t="str">
        <x:v>Tier 2</x:v>
      </x:c>
      <x:c r="J27" s="57" t="str">
        <x:v>Demonstrates recurring revenue and community membership.</x:v>
      </x:c>
    </x:row>
    <x:row r="28">
      <x:c r="A28" s="56" t="str">
        <x:v>S25</x:v>
      </x:c>
      <x:c r="B28" s="296" t="str">
        <x:v>Comparable</x:v>
      </x:c>
      <x:c r="C28" s="296" t="str">
        <x:v>Callisto lists private tea tastings at $35 per person</x:v>
      </x:c>
      <x:c r="D28" s="296" t="str">
        <x:v>Callisto Tea House</x:v>
      </x:c>
      <x:c r="E28" s="296" t="str">
        <x:v>Tea Tasting Experience</x:v>
      </x:c>
      <x:c r="F28" s="296" t="str">
        <x:v>Current</x:v>
      </x:c>
      <x:c r="G28" s="296" t="str">
        <x:v>2026-08-27</x:v>
      </x:c>
      <x:c r="H28" s="266" t="str">
        <x:v>https://callistoteahouse.com/pages/tea-tastings</x:v>
      </x:c>
      <x:c r="I28" s="296" t="str">
        <x:v>Tier 2</x:v>
      </x:c>
      <x:c r="J28" s="57" t="str">
        <x:v>Useful mid-market tasting benchmark.</x:v>
      </x:c>
    </x:row>
    <x:row r="29">
      <x:c r="A29" s="56" t="str">
        <x:v>S26</x:v>
      </x:c>
      <x:c r="B29" s="296" t="str">
        <x:v>Comparable</x:v>
      </x:c>
      <x:c r="C29" s="296" t="str">
        <x:v>Denong ended its original Pasadena retail operation in April 2024</x:v>
      </x:c>
      <x:c r="D29" s="296" t="str">
        <x:v>Denong Tea</x:v>
      </x:c>
      <x:c r="E29" s="296" t="str">
        <x:v>Retail closure announcement</x:v>
      </x:c>
      <x:c r="F29" s="296" t="str">
        <x:v>2024-04</x:v>
      </x:c>
      <x:c r="G29" s="296" t="str">
        <x:v>2026-08-27</x:v>
      </x:c>
      <x:c r="H29" s="266" t="str">
        <x:v>https://www.instagram.com/p/C7Xt-2jPxqG/</x:v>
      </x:c>
      <x:c r="I29" s="296" t="str">
        <x:v>Tier 2</x:v>
      </x:c>
      <x:c r="J29" s="57" t="str">
        <x:v>One closure does not establish causation; use as a cautionary case.</x:v>
      </x:c>
    </x:row>
    <x:row r="30">
      <x:c r="A30" s="56" t="str">
        <x:v>S27</x:v>
      </x:c>
      <x:c r="B30" s="296" t="str">
        <x:v>Comparable</x:v>
      </x:c>
      <x:c r="C30" s="296" t="str">
        <x:v>Tao of Tea operated at Lan Su Chinese Garden from 2000 to 2023 and continues other channels</x:v>
      </x:c>
      <x:c r="D30" s="296" t="str">
        <x:v>The Tao of Tea</x:v>
      </x:c>
      <x:c r="E30" s="296" t="str">
        <x:v>History of Our Teahouses</x:v>
      </x:c>
      <x:c r="F30" s="296" t="str">
        <x:v>Current</x:v>
      </x:c>
      <x:c r="G30" s="296" t="str">
        <x:v>2026-08-27</x:v>
      </x:c>
      <x:c r="H30" s="266" t="str">
        <x:v>https://taooftea.com/teahouses/history/</x:v>
      </x:c>
      <x:c r="I30" s="296" t="str">
        <x:v>Tier 2</x:v>
      </x:c>
      <x:c r="J30" s="57" t="str">
        <x:v>Shows longevity plus location/channel evolution.</x:v>
      </x:c>
    </x:row>
    <x:row r="31">
      <x:c r="A31" s="56" t="str">
        <x:v>S28</x:v>
      </x:c>
      <x:c r="B31" s="296" t="str">
        <x:v>Comparable</x:v>
      </x:c>
      <x:c r="C31" s="296" t="str">
        <x:v>T2 closed U.S. and U.K. operations in 2023 to refocus closer to home</x:v>
      </x:c>
      <x:c r="D31" s="296" t="str">
        <x:v>Inside Retail</x:v>
      </x:c>
      <x:c r="E31" s="296" t="str">
        <x:v>T2 Tea to exit Singapore, closing three remaining stores</x:v>
      </x:c>
      <x:c r="F31" s="296" t="str">
        <x:v>2026-03-17</x:v>
      </x:c>
      <x:c r="G31" s="296" t="str">
        <x:v>2026-08-27</x:v>
      </x:c>
      <x:c r="H31" s="266" t="str">
        <x:v>https://insideretail.com.au/stores/openings-closings/t2-tea-to-exit-singapore-closing-three-remaining-stores-202603</x:v>
      </x:c>
      <x:c r="I31" s="296" t="str">
        <x:v>Tier 2</x:v>
      </x:c>
      <x:c r="J31" s="57" t="str">
        <x:v>Large branded retail is not automatically protected from geography/overhead.</x:v>
      </x:c>
    </x:row>
    <x:row r="32">
      <x:c r="A32" s="56" t="str">
        <x:v>S29</x:v>
      </x:c>
      <x:c r="B32" s="296" t="str">
        <x:v>Content commerce</x:v>
      </x:c>
      <x:c r="C32" s="296" t="str">
        <x:v>LC Sign is a Guangzhou manufacturer selling custom signs globally and using local partners for installation</x:v>
      </x:c>
      <x:c r="D32" s="296" t="str">
        <x:v>LC Sign</x:v>
      </x:c>
      <x:c r="E32" s="296" t="str">
        <x:v>Official site and FAQ</x:v>
      </x:c>
      <x:c r="F32" s="296" t="str">
        <x:v>Current</x:v>
      </x:c>
      <x:c r="G32" s="296" t="str">
        <x:v>2026-08-27</x:v>
      </x:c>
      <x:c r="H32" s="266" t="str">
        <x:v>https://lcsign.com/resources/faqs/</x:v>
      </x:c>
      <x:c r="I32" s="296" t="str">
        <x:v>Tier 2</x:v>
      </x:c>
      <x:c r="J32" s="57" t="str">
        <x:v>Model is B2B/high-ticket and only partially transferable to tea.</x:v>
      </x:c>
    </x:row>
    <x:row r="33">
      <x:c r="A33" s="58" t="str">
        <x:v>S30</x:v>
      </x:c>
      <x:c r="B33" s="297" t="str">
        <x:v>Content commerce</x:v>
      </x:c>
      <x:c r="C33" s="297" t="str">
        <x:v>Tony LC Sign's viral content expanded awareness and was reinforced through U.S. trade-show participation</x:v>
      </x:c>
      <x:c r="D33" s="297" t="str">
        <x:v>Radii China</x:v>
      </x:c>
      <x:c r="E33" s="297" t="str">
        <x:v>Tony LC Sign: The Accent King Lighting Up Social Media</x:v>
      </x:c>
      <x:c r="F33" s="297" t="str">
        <x:v>2025-01-14</x:v>
      </x:c>
      <x:c r="G33" s="297" t="str">
        <x:v>2026-08-27</x:v>
      </x:c>
      <x:c r="H33" s="270" t="str">
        <x:v>https://radii.co/article/tony-lc-sign-social-media</x:v>
      </x:c>
      <x:c r="I33" s="297" t="str">
        <x:v>Tier 2</x:v>
      </x:c>
      <x:c r="J33" s="59" t="str">
        <x:v>Use as a marketing mechanism case, not a direct business-model analog.</x:v>
      </x:c>
    </x:row>
  </x:sheetData>
  <x:mergeCells>
    <x:mergeCell ref="A1:J1"/>
    <x:mergeCell ref="A2:J2"/>
  </x:mergeCells>
  <x:pageMargins left="0.7" right="0.7" top="0.75" bottom="0.75" header="0.3" footer="0.3"/>
</x:worksheet>
</file>